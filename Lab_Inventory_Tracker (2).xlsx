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osets" sheetId="2" state="visible" r:id="rId4"/>
    <sheet name="Bins" sheetId="3" state="visible" r:id="rId5"/>
    <sheet name="Inventory" sheetId="4" state="visible" r:id="rId6"/>
    <sheet name="Checkout Log" sheetId="5" state="visible" r:id="rId7"/>
    <sheet name="Search" sheetId="6" state="visible" r:id="rId8"/>
    <sheet name="Random &amp; Unknown" sheetId="7" state="visible" r:id="rId9"/>
  </sheets>
  <definedNames>
    <definedName function="false" hidden="false" name="BinList" vbProcedure="false">Bins!$A$3:$A$262</definedName>
    <definedName function="false" hidden="false" name="ClosetList" vbProcedure="false">Closets!$A$3:$A$22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<sst xmlns="http://schemas.openxmlformats.org/spreadsheetml/2006/main" count="1341" uniqueCount="519">
  <si>
    <t xml:space="preserve">Edge Lab — Inventory Dashboard</t>
  </si>
  <si>
    <t xml:space="preserve">Last updated: fill manually</t>
  </si>
  <si>
    <t xml:space="preserve">Total Item Types</t>
  </si>
  <si>
    <t xml:space="preserve">Total Qty in Lab</t>
  </si>
  <si>
    <t xml:space="preserve">Active Bins</t>
  </si>
  <si>
    <t xml:space="preserve">Checked Out</t>
  </si>
  <si>
    <t xml:space="preserve">Overdue</t>
  </si>
  <si>
    <t xml:space="preserve">Returned (total)</t>
  </si>
  <si>
    <t xml:space="preserve">Storage Overview — by Closet</t>
  </si>
  <si>
    <t xml:space="preserve">Closet</t>
  </si>
  <si>
    <t xml:space="preserve">Type</t>
  </si>
  <si>
    <t xml:space="preserve">No. of Rows</t>
  </si>
  <si>
    <t xml:space="preserve">Bins Used</t>
  </si>
  <si>
    <t xml:space="preserve">Item Types</t>
  </si>
  <si>
    <t xml:space="preserve">Total Qty</t>
  </si>
  <si>
    <t xml:space="preserve">Active Checkouts</t>
  </si>
  <si>
    <t xml:space="preserve">Item Name</t>
  </si>
  <si>
    <t xml:space="preserve">Bin</t>
  </si>
  <si>
    <t xml:space="preserve">Borrower</t>
  </si>
  <si>
    <t xml:space="preserve">Checkout Date</t>
  </si>
  <si>
    <t xml:space="preserve">Expected Return</t>
  </si>
  <si>
    <t xml:space="preserve">Narmada borrowed 2</t>
  </si>
  <si>
    <t xml:space="preserve">Shehan borrowed 2</t>
  </si>
  <si>
    <t xml:space="preserve">Domenic Dreschel borrowed 1</t>
  </si>
  <si>
    <t xml:space="preserve">Closets — Physical Storage Units</t>
  </si>
  <si>
    <t xml:space="preserve">Closet Name</t>
  </si>
  <si>
    <t xml:space="preserve">Location / Room</t>
  </si>
  <si>
    <t xml:space="preserve">Notes</t>
  </si>
  <si>
    <t xml:space="preserve">C1</t>
  </si>
  <si>
    <t xml:space="preserve">PC Periphery</t>
  </si>
  <si>
    <t xml:space="preserve">L3.3-E02-120 </t>
  </si>
  <si>
    <t xml:space="preserve">C2</t>
  </si>
  <si>
    <t xml:space="preserve">ELE stuff</t>
  </si>
  <si>
    <t xml:space="preserve">L3.3-E02-120</t>
  </si>
  <si>
    <t xml:space="preserve">C3</t>
  </si>
  <si>
    <t xml:space="preserve">C4</t>
  </si>
  <si>
    <t xml:space="preserve">Tools</t>
  </si>
  <si>
    <t xml:space="preserve">C5</t>
  </si>
  <si>
    <t xml:space="preserve">Projects</t>
  </si>
  <si>
    <t xml:space="preserve">C6</t>
  </si>
  <si>
    <t xml:space="preserve">Misc</t>
  </si>
  <si>
    <t xml:space="preserve">C7</t>
  </si>
  <si>
    <t xml:space="preserve">Boxes</t>
  </si>
  <si>
    <t xml:space="preserve">SCC1</t>
  </si>
  <si>
    <t xml:space="preserve">SCC2</t>
  </si>
  <si>
    <t xml:space="preserve">SCC3</t>
  </si>
  <si>
    <t xml:space="preserve">SCC4</t>
  </si>
  <si>
    <t xml:space="preserve">SL5</t>
  </si>
  <si>
    <t xml:space="preserve">SL4</t>
  </si>
  <si>
    <t xml:space="preserve">Microcontrollers</t>
  </si>
  <si>
    <t xml:space="preserve">SL3</t>
  </si>
  <si>
    <t xml:space="preserve">cars</t>
  </si>
  <si>
    <t xml:space="preserve">SL2</t>
  </si>
  <si>
    <t xml:space="preserve">SL1</t>
  </si>
  <si>
    <t xml:space="preserve">Bins — Storage Containers</t>
  </si>
  <si>
    <t xml:space="preserve">Bin Name</t>
  </si>
  <si>
    <t xml:space="preserve">Row</t>
  </si>
  <si>
    <t xml:space="preserve">Position</t>
  </si>
  <si>
    <t xml:space="preserve">Empty (C1-R1-P1)</t>
  </si>
  <si>
    <t xml:space="preserve">Dell docking Cord</t>
  </si>
  <si>
    <t xml:space="preserve">Empty (C1-R1-P3)</t>
  </si>
  <si>
    <t xml:space="preserve">Empty (C1-R1-P4)</t>
  </si>
  <si>
    <t xml:space="preserve">Ethernet Cables</t>
  </si>
  <si>
    <t xml:space="preserve">3.5 mm Jack</t>
  </si>
  <si>
    <t xml:space="preserve">Display cables</t>
  </si>
  <si>
    <t xml:space="preserve">Empty (C1-R2-P4)</t>
  </si>
  <si>
    <t xml:space="preserve">USB Type B</t>
  </si>
  <si>
    <t xml:space="preserve">Empty (C1-R3-P2)</t>
  </si>
  <si>
    <t xml:space="preserve">Wireless Keyboard</t>
  </si>
  <si>
    <t xml:space="preserve">Empty (C1-R3-P4)</t>
  </si>
  <si>
    <t xml:space="preserve">PC Speakers</t>
  </si>
  <si>
    <t xml:space="preserve">Mouse and Keyboard accessories</t>
  </si>
  <si>
    <t xml:space="preserve">Dell Mouse</t>
  </si>
  <si>
    <t xml:space="preserve">Dell Laptops</t>
  </si>
  <si>
    <t xml:space="preserve">Wired Keyboard EN</t>
  </si>
  <si>
    <t xml:space="preserve">Wired Keyboard DE</t>
  </si>
  <si>
    <t xml:space="preserve">Batteries mix</t>
  </si>
  <si>
    <t xml:space="preserve">Lithium Coin Cells mix</t>
  </si>
  <si>
    <t xml:space="preserve">Powerbanks</t>
  </si>
  <si>
    <t xml:space="preserve">Battery Storage ENEROID</t>
  </si>
  <si>
    <t xml:space="preserve">Power Supply (5V-24V)</t>
  </si>
  <si>
    <t xml:space="preserve">Medium Breadboards</t>
  </si>
  <si>
    <t xml:space="preserve">USB to 5V Cable</t>
  </si>
  <si>
    <t xml:space="preserve">Battery powered Voltage Supply</t>
  </si>
  <si>
    <t xml:space="preserve">Empty (C2-R3-P1)</t>
  </si>
  <si>
    <t xml:space="preserve">Empty (C2-R3-P2)</t>
  </si>
  <si>
    <t xml:space="preserve">Empty (C2-R3-P3)</t>
  </si>
  <si>
    <t xml:space="preserve">ADRUINO Esplora</t>
  </si>
  <si>
    <t xml:space="preserve">STM 32 Microcontrollers</t>
  </si>
  <si>
    <t xml:space="preserve">Small ESP 32 Microcontrollers</t>
  </si>
  <si>
    <t xml:space="preserve">RGB Shield For Arduino</t>
  </si>
  <si>
    <t xml:space="preserve">Connectors and wiring</t>
  </si>
  <si>
    <t xml:space="preserve">Cables FF</t>
  </si>
  <si>
    <t xml:space="preserve">Cables MF</t>
  </si>
  <si>
    <t xml:space="preserve">Cables MM</t>
  </si>
  <si>
    <t xml:space="preserve">Cables Exoctic</t>
  </si>
  <si>
    <t xml:space="preserve">Hexagonal Key Wrenches</t>
  </si>
  <si>
    <t xml:space="preserve">Empty (C4-R1-P2)</t>
  </si>
  <si>
    <t xml:space="preserve">Empty (C4-R1-P3)</t>
  </si>
  <si>
    <t xml:space="preserve">Mounting Hole templates</t>
  </si>
  <si>
    <t xml:space="preserve">Caliper Boxes</t>
  </si>
  <si>
    <t xml:space="preserve">Prof. Göbels Raspery Pi</t>
  </si>
  <si>
    <t xml:space="preserve">Multimeters</t>
  </si>
  <si>
    <t xml:space="preserve">Empty (C4-R2-P4)</t>
  </si>
  <si>
    <t xml:space="preserve">Cable binders</t>
  </si>
  <si>
    <t xml:space="preserve">Screw driver set</t>
  </si>
  <si>
    <t xml:space="preserve">Random (C4-R3-P3)</t>
  </si>
  <si>
    <t xml:space="preserve">Random (C4-R4-P1)</t>
  </si>
  <si>
    <t xml:space="preserve">Random (C4-R5-P1)</t>
  </si>
  <si>
    <t xml:space="preserve">Laser Cut Scrap</t>
  </si>
  <si>
    <t xml:space="preserve">UP1</t>
  </si>
  <si>
    <t xml:space="preserve">Ballon</t>
  </si>
  <si>
    <t xml:space="preserve">UP2</t>
  </si>
  <si>
    <t xml:space="preserve">Empty (C5-R1-P4)</t>
  </si>
  <si>
    <t xml:space="preserve">Empty (C5-R2-P1)</t>
  </si>
  <si>
    <t xml:space="preserve">UP3</t>
  </si>
  <si>
    <t xml:space="preserve">UP4</t>
  </si>
  <si>
    <t xml:space="preserve">UP5</t>
  </si>
  <si>
    <t xml:space="preserve">Wheel Box</t>
  </si>
  <si>
    <t xml:space="preserve">S.U.S.H.I</t>
  </si>
  <si>
    <t xml:space="preserve">Empty (C5-R4-P1)</t>
  </si>
  <si>
    <t xml:space="preserve">3D Printed Scrap</t>
  </si>
  <si>
    <t xml:space="preserve">Empty (C6-R1-P1)</t>
  </si>
  <si>
    <t xml:space="preserve">WiFI Sockets</t>
  </si>
  <si>
    <t xml:space="preserve">Empty (C6-R2-P1)</t>
  </si>
  <si>
    <t xml:space="preserve">Empty (C6-R2-P2)</t>
  </si>
  <si>
    <t xml:space="preserve">USB Type B 2.0</t>
  </si>
  <si>
    <t xml:space="preserve">Empty (C6-R3-P2)</t>
  </si>
  <si>
    <t xml:space="preserve">Random (C6-R4-P1)</t>
  </si>
  <si>
    <t xml:space="preserve">Empty (C6-R4-P2)</t>
  </si>
  <si>
    <t xml:space="preserve">Long Red Boxes</t>
  </si>
  <si>
    <t xml:space="preserve">Box Lids</t>
  </si>
  <si>
    <t xml:space="preserve">Empty (C7-R2-P1)</t>
  </si>
  <si>
    <t xml:space="preserve">Empty (C7-R2-P2)</t>
  </si>
  <si>
    <t xml:space="preserve">Org. Boxes</t>
  </si>
  <si>
    <t xml:space="preserve">A big thing</t>
  </si>
  <si>
    <t xml:space="preserve">A big thing 2</t>
  </si>
  <si>
    <t xml:space="preserve">RGB LED</t>
  </si>
  <si>
    <t xml:space="preserve">AREXX Bluetooth Kit</t>
  </si>
  <si>
    <t xml:space="preserve">DC motor 9V</t>
  </si>
  <si>
    <t xml:space="preserve">Color sensor</t>
  </si>
  <si>
    <t xml:space="preserve">Switch</t>
  </si>
  <si>
    <t xml:space="preserve">Button</t>
  </si>
  <si>
    <t xml:space="preserve">1.3 OLED Module</t>
  </si>
  <si>
    <t xml:space="preserve">Mini HDMI adapter</t>
  </si>
  <si>
    <t xml:space="preserve">ASURO Distance measurement Kit</t>
  </si>
  <si>
    <t xml:space="preserve">42 MM Step Motors</t>
  </si>
  <si>
    <t xml:space="preserve">Null (C3-R1-P11)</t>
  </si>
  <si>
    <t xml:space="preserve">Small fan/Small Electric Lock/L298N/DC-DC Boost module</t>
  </si>
  <si>
    <t xml:space="preserve">MegaPI with motors/ Arduino Motor Shield Rev3/ATmega328PB Xplained Mini/ velleman Motor and Power Shield/ pcDUINO</t>
  </si>
  <si>
    <t xml:space="preserve">Round Force Sensor FSR402/DHT21/Infrared Remote</t>
  </si>
  <si>
    <t xml:space="preserve">Keypad 3x3/ Makeblock Ultrasonic Sensor/ MegaPi shield for RJ25</t>
  </si>
  <si>
    <t xml:space="preserve">4 Pins Sensor Cable/ DC Power Supply Jack socket/ Toggle-Switch SPDT</t>
  </si>
  <si>
    <t xml:space="preserve">Pressure Sensor/ AtMega329P PRO mini/Heart Beat Sensor</t>
  </si>
  <si>
    <t xml:space="preserve">FTDI Module/Banana Pi M2/ PWM Servo Shield</t>
  </si>
  <si>
    <t xml:space="preserve">Bearings</t>
  </si>
  <si>
    <t xml:space="preserve">Null (C3-R2-P11)</t>
  </si>
  <si>
    <t xml:space="preserve">Null (C3-R2-P12)</t>
  </si>
  <si>
    <t xml:space="preserve">Unknown Item (LR3195)/I2C Level Converter/Weighing sensor</t>
  </si>
  <si>
    <t xml:space="preserve">64GB Micro SD card with adapter</t>
  </si>
  <si>
    <t xml:space="preserve">HC-SR501 motion sensor</t>
  </si>
  <si>
    <t xml:space="preserve">Collision Sensor/Gesture Sensor</t>
  </si>
  <si>
    <t xml:space="preserve">Ribbon Cables</t>
  </si>
  <si>
    <t xml:space="preserve">Arduino sensor shield</t>
  </si>
  <si>
    <t xml:space="preserve">Debo LED RGBY</t>
  </si>
  <si>
    <t xml:space="preserve">Servo Motors</t>
  </si>
  <si>
    <t xml:space="preserve">Accelerometer &amp; gyroscope</t>
  </si>
  <si>
    <t xml:space="preserve">433 Mhz Sender and reciever/ Microchip Cufflinks/Greethga (ferrit ring)</t>
  </si>
  <si>
    <t xml:space="preserve">Arduino GSM Shield/SD Card Shield/ LoRa 32 Wifi BLE</t>
  </si>
  <si>
    <t xml:space="preserve">Arduino Wireless SD Shield/ Motor Control Shield/ Raspberry Pi Infrared light 850</t>
  </si>
  <si>
    <t xml:space="preserve">Potentiomers</t>
  </si>
  <si>
    <t xml:space="preserve">Flame Sensor</t>
  </si>
  <si>
    <t xml:space="preserve">Passive Buzzers</t>
  </si>
  <si>
    <t xml:space="preserve">Active Buzzer</t>
  </si>
  <si>
    <t xml:space="preserve">Digital temp Sensor</t>
  </si>
  <si>
    <t xml:space="preserve">Reed switch</t>
  </si>
  <si>
    <t xml:space="preserve">Mini Reed Module</t>
  </si>
  <si>
    <t xml:space="preserve">Small Sound</t>
  </si>
  <si>
    <t xml:space="preserve">Tilt switch</t>
  </si>
  <si>
    <t xml:space="preserve">Hall Sensor</t>
  </si>
  <si>
    <t xml:space="preserve">Heartbeat Sensor</t>
  </si>
  <si>
    <t xml:space="preserve">SMD RGB</t>
  </si>
  <si>
    <t xml:space="preserve">Big Sound</t>
  </si>
  <si>
    <t xml:space="preserve">Gas Sensor</t>
  </si>
  <si>
    <t xml:space="preserve">Magnetic Hall Sensor/Analog temperature/Bihor Magnet Sensor</t>
  </si>
  <si>
    <t xml:space="preserve">Photoresistors</t>
  </si>
  <si>
    <t xml:space="preserve">Relay</t>
  </si>
  <si>
    <t xml:space="preserve">Grove RTC/ Accelerometer 3-axis tilt angle/JT-Sound Sensor</t>
  </si>
  <si>
    <t xml:space="preserve">Vibration switch</t>
  </si>
  <si>
    <t xml:space="preserve">Two color</t>
  </si>
  <si>
    <t xml:space="preserve">7 Color Flash</t>
  </si>
  <si>
    <t xml:space="preserve">5V step motor/With driver PCB</t>
  </si>
  <si>
    <t xml:space="preserve">Touch Sensor</t>
  </si>
  <si>
    <t xml:space="preserve">High power LED</t>
  </si>
  <si>
    <t xml:space="preserve">Moisture</t>
  </si>
  <si>
    <t xml:space="preserve">Joystick</t>
  </si>
  <si>
    <t xml:space="preserve">Temperature sensor</t>
  </si>
  <si>
    <t xml:space="preserve">Light blocking Sensor</t>
  </si>
  <si>
    <t xml:space="preserve">Magic light Cup</t>
  </si>
  <si>
    <t xml:space="preserve">Knock sensor</t>
  </si>
  <si>
    <t xml:space="preserve">Slide Potentiometer</t>
  </si>
  <si>
    <t xml:space="preserve">4 Relay Module</t>
  </si>
  <si>
    <t xml:space="preserve">Arduino Base shield</t>
  </si>
  <si>
    <t xml:space="preserve">BlueTooth XBee</t>
  </si>
  <si>
    <t xml:space="preserve">I2C LCD 2x16</t>
  </si>
  <si>
    <t xml:space="preserve">Bluetooth Modules</t>
  </si>
  <si>
    <t xml:space="preserve">CBS-MotoDriver2</t>
  </si>
  <si>
    <t xml:space="preserve">Geared Motors 12V</t>
  </si>
  <si>
    <t xml:space="preserve">Flight Control Sensor/Segment Display/ Barometer (High accuracy)</t>
  </si>
  <si>
    <t xml:space="preserve">Avoid</t>
  </si>
  <si>
    <t xml:space="preserve">Tracking Sensor</t>
  </si>
  <si>
    <t xml:space="preserve">2.4 tft Display Uno Module</t>
  </si>
  <si>
    <t xml:space="preserve">IR sensor</t>
  </si>
  <si>
    <t xml:space="preserve">Soil Humidity Sensor/GPS NEO-6M Reciever Module/Laser PING 2m Range Finder</t>
  </si>
  <si>
    <t xml:space="preserve">USB Power Detector/Tilt switch/RFID Reader Chip</t>
  </si>
  <si>
    <t xml:space="preserve">LED Ring 5V RGB/ Keyes Ball Switch/ Voltage Translator</t>
  </si>
  <si>
    <t xml:space="preserve">Null (C3-R7-P11)</t>
  </si>
  <si>
    <t xml:space="preserve">Null (C3-R7-P12)</t>
  </si>
  <si>
    <t xml:space="preserve">AREXX WIRELESS APC-220 Kit</t>
  </si>
  <si>
    <t xml:space="preserve">Kit Components/ Ir Reciever Module/ IR transmitter Module</t>
  </si>
  <si>
    <t xml:space="preserve">Temperature &amp; Humidity sensor/BiDirectional Bus/ 6-channel Reciever</t>
  </si>
  <si>
    <t xml:space="preserve">Ultrasound measurement</t>
  </si>
  <si>
    <t xml:space="preserve">IR reciever/ Temperature Sensor/ Analog Digital Converter</t>
  </si>
  <si>
    <t xml:space="preserve">Tilt Sensor/ Tilt Switch/RGB and Gesture Sensor</t>
  </si>
  <si>
    <t xml:space="preserve">Wifi Antena</t>
  </si>
  <si>
    <t xml:space="preserve">ARX-MSPS5 Complete ASURE Minesweeper kit</t>
  </si>
  <si>
    <t xml:space="preserve">ARX-SNK20 ASURO Snake VIsion Kit</t>
  </si>
  <si>
    <t xml:space="preserve">Null (C3-R8-P11)</t>
  </si>
  <si>
    <t xml:space="preserve">Null (C3-R8-P12)</t>
  </si>
  <si>
    <t xml:space="preserve">Boxes and Kits</t>
  </si>
  <si>
    <t xml:space="preserve">Arduino Prototype Shield v5</t>
  </si>
  <si>
    <t xml:space="preserve">Monitor Stands box</t>
  </si>
  <si>
    <t xml:space="preserve">Acoustic panels</t>
  </si>
  <si>
    <t xml:space="preserve">Empty (SL5-R3-P1)</t>
  </si>
  <si>
    <t xml:space="preserve">Empty (SL5-R3-P2)</t>
  </si>
  <si>
    <t xml:space="preserve">Empty (SL5-R2-P1)</t>
  </si>
  <si>
    <t xml:space="preserve">Empty (SL5-R2-P2)</t>
  </si>
  <si>
    <t xml:space="preserve">Some project speaker</t>
  </si>
  <si>
    <t xml:space="preserve">Unsuspicious bucket</t>
  </si>
  <si>
    <t xml:space="preserve">Conveyor Kit+monotor</t>
  </si>
  <si>
    <t xml:space="preserve">Empty Joy-IT R3DIP-P Microcontroller boxes</t>
  </si>
  <si>
    <t xml:space="preserve">Standard Breadboards</t>
  </si>
  <si>
    <t xml:space="preserve">Joy-IT Microcontrollers</t>
  </si>
  <si>
    <t xml:space="preserve">Empty DJI drone box</t>
  </si>
  <si>
    <t xml:space="preserve">Lab Power supply EX354RT 300W</t>
  </si>
  <si>
    <t xml:space="preserve">Arduino microcontrollers (Official)</t>
  </si>
  <si>
    <t xml:space="preserve">Empty (SL4-R1-P1)</t>
  </si>
  <si>
    <t xml:space="preserve">Empty (SL4-R1-P2)</t>
  </si>
  <si>
    <t xml:space="preserve">Robot remote control kits</t>
  </si>
  <si>
    <t xml:space="preserve">Slot car tracks and components</t>
  </si>
  <si>
    <t xml:space="preserve">Robots</t>
  </si>
  <si>
    <t xml:space="preserve">Ford Mustang radio controlled model kit</t>
  </si>
  <si>
    <t xml:space="preserve">Oculus Rift</t>
  </si>
  <si>
    <t xml:space="preserve">Steam VR base station 2.0</t>
  </si>
  <si>
    <t xml:space="preserve">Some very well organised project</t>
  </si>
  <si>
    <t xml:space="preserve">Long acrilic things?</t>
  </si>
  <si>
    <t xml:space="preserve">Robot arm and box</t>
  </si>
  <si>
    <t xml:space="preserve">XBOX KINECT</t>
  </si>
  <si>
    <t xml:space="preserve">Holybro Drone Development Kit</t>
  </si>
  <si>
    <t xml:space="preserve">Taranis Digital Telemetry radio system</t>
  </si>
  <si>
    <t xml:space="preserve">Goobay Power Supply 12V</t>
  </si>
  <si>
    <t xml:space="preserve">OKdo Raspberry Pi camera module</t>
  </si>
  <si>
    <t xml:space="preserve">Seedstudio DeepLearning Starter kit for Jetson Nano</t>
  </si>
  <si>
    <t xml:space="preserve">Arducam 8MP Synchronised stereo camera Kit</t>
  </si>
  <si>
    <t xml:space="preserve">Slamtec RPLIDAR A1</t>
  </si>
  <si>
    <t xml:space="preserve">Arducam M12 Lens Kit LK003</t>
  </si>
  <si>
    <t xml:space="preserve">Waveshare Stereo Camera IMX219-83</t>
  </si>
  <si>
    <t xml:space="preserve">Empty (SL2-R3-P3)</t>
  </si>
  <si>
    <t xml:space="preserve">TFMINI-S Micro Ranging module</t>
  </si>
  <si>
    <t xml:space="preserve">Joy-it Pixy-cam</t>
  </si>
  <si>
    <t xml:space="preserve">RobotShop 12.3 Mp camera board for Jetson BO279</t>
  </si>
  <si>
    <t xml:space="preserve">No idea, but looks expensive and has cameras</t>
  </si>
  <si>
    <t xml:space="preserve">Joy-it RB-camera WW 5MP for raspberry pi</t>
  </si>
  <si>
    <t xml:space="preserve">BlueTechnix Sentis3D-M520</t>
  </si>
  <si>
    <t xml:space="preserve">Raspberry Pi camera v2.1 with Wooden holder</t>
  </si>
  <si>
    <t xml:space="preserve">BitCraze CrazyFlie drone kit</t>
  </si>
  <si>
    <t xml:space="preserve">Ultimate 2.0 10 in 1 robot kits</t>
  </si>
  <si>
    <t xml:space="preserve">AXIS p5534 survalance cameras</t>
  </si>
  <si>
    <t xml:space="preserve">Dell Misc</t>
  </si>
  <si>
    <t xml:space="preserve">Dell metalic parts</t>
  </si>
  <si>
    <t xml:space="preserve">Dell case cables</t>
  </si>
  <si>
    <t xml:space="preserve">Dell case parts</t>
  </si>
  <si>
    <t xml:space="preserve">Two projects</t>
  </si>
  <si>
    <t xml:space="preserve">Workstation cables</t>
  </si>
  <si>
    <t xml:space="preserve">SATA cables</t>
  </si>
  <si>
    <t xml:space="preserve">Denver WIFI Cam 4K ACK-8060W</t>
  </si>
  <si>
    <t xml:space="preserve">Dell Metal Parts</t>
  </si>
  <si>
    <t xml:space="preserve">PC case cables</t>
  </si>
  <si>
    <t xml:space="preserve">Storage units holders?</t>
  </si>
  <si>
    <t xml:space="preserve">Earthing Plugs</t>
  </si>
  <si>
    <t xml:space="preserve">PC motherboard Cables</t>
  </si>
  <si>
    <t xml:space="preserve">WaveShare RACER AI Kit</t>
  </si>
  <si>
    <t xml:space="preserve">Workstation components?</t>
  </si>
  <si>
    <t xml:space="preserve">Thrustmaster PS3 wheel</t>
  </si>
  <si>
    <t xml:space="preserve">Arduino RGB shield</t>
  </si>
  <si>
    <t xml:space="preserve">Inventory — Items</t>
  </si>
  <si>
    <t xml:space="preserve">Code / Barcode</t>
  </si>
  <si>
    <t xml:space="preserve">Available Qty</t>
  </si>
  <si>
    <t xml:space="preserve">Condition</t>
  </si>
  <si>
    <t xml:space="preserve">Dell Docking cord</t>
  </si>
  <si>
    <t xml:space="preserve">Unknown</t>
  </si>
  <si>
    <t xml:space="preserve">Wired Keyboard HP H3CS3AA DE</t>
  </si>
  <si>
    <t xml:space="preserve">Wired Keyboard DELL KB216t DE</t>
  </si>
  <si>
    <t xml:space="preserve">Wired Keyboard Fujitsu KB 410 C DE</t>
  </si>
  <si>
    <t xml:space="preserve">Wired Keyboard CHERRY KC 6000 SLIM DE</t>
  </si>
  <si>
    <t xml:space="preserve">Varta CR20250 Lithum Cell 3v battery</t>
  </si>
  <si>
    <t xml:space="preserve">Varta V13GA/LR44 Lithum Cell 1.5v Battery</t>
  </si>
  <si>
    <t xml:space="preserve">renkforce ANSCHLUSSKABEL</t>
  </si>
  <si>
    <t xml:space="preserve">Color Sensor</t>
  </si>
  <si>
    <t xml:space="preserve">Button LH 111</t>
  </si>
  <si>
    <t xml:space="preserve">DC Motor 9V</t>
  </si>
  <si>
    <t xml:space="preserve">ARX-ULT10</t>
  </si>
  <si>
    <t xml:space="preserve">42-MM Step Motor</t>
  </si>
  <si>
    <t xml:space="preserve">INOVA 12 1/2 Inch wheels</t>
  </si>
  <si>
    <t xml:space="preserve">brennenstuhl WiFi socket</t>
  </si>
  <si>
    <t xml:space="preserve">DELOCK WLAN Power Scoket Switch</t>
  </si>
  <si>
    <t xml:space="preserve">Sortimentkasten</t>
  </si>
  <si>
    <t xml:space="preserve">Dell WM527 wireless mouse</t>
  </si>
  <si>
    <t xml:space="preserve">Dell keyboard wrist rest</t>
  </si>
  <si>
    <t xml:space="preserve">Logitech Z130 Speakers</t>
  </si>
  <si>
    <t xml:space="preserve">Dell AC511 speaker</t>
  </si>
  <si>
    <t xml:space="preserve">Wired Keyboard KB522p EN</t>
  </si>
  <si>
    <t xml:space="preserve">Powerbank Intenso A5200</t>
  </si>
  <si>
    <t xml:space="preserve">Battery storage ENEROID EN 10LI</t>
  </si>
  <si>
    <t xml:space="preserve">STM32F756 Nucleo-144 Microcontroller</t>
  </si>
  <si>
    <t xml:space="preserve">2 rented by Narmada</t>
  </si>
  <si>
    <t xml:space="preserve">STM32F411 Nucleo-64 Microcontroller</t>
  </si>
  <si>
    <t xml:space="preserve">STM32F030 Nucleo-64 Microcontroller</t>
  </si>
  <si>
    <t xml:space="preserve">STM32L152 Nucleo-64 Microcontroller</t>
  </si>
  <si>
    <t xml:space="preserve">TinyPICO ESP32 Dev board Microcontroller</t>
  </si>
  <si>
    <t xml:space="preserve">Teensy 4.0 32 bit Microcontroller</t>
  </si>
  <si>
    <t xml:space="preserve">veleman-kit RGB SHIELD FOR ARDUINO</t>
  </si>
  <si>
    <t xml:space="preserve">TRU components, Spade connector set 260pc</t>
  </si>
  <si>
    <t xml:space="preserve">TRU components Crimp/Heat-sink connector assortment 382 pc.</t>
  </si>
  <si>
    <t xml:space="preserve">Conrad Crimp connector set 450 pc.</t>
  </si>
  <si>
    <t xml:space="preserve">Conrad Wiring set 350 pc.</t>
  </si>
  <si>
    <t xml:space="preserve">STM32MP157C-DK2 Microcontroller</t>
  </si>
  <si>
    <t xml:space="preserve">3 rented by shehan (project work)</t>
  </si>
  <si>
    <t xml:space="preserve">SUNON small fan DC12V</t>
  </si>
  <si>
    <t xml:space="preserve">Small Electric Lock</t>
  </si>
  <si>
    <t xml:space="preserve">L298N Motor Driver</t>
  </si>
  <si>
    <t xml:space="preserve">velleman DC-DC Converter VMA403</t>
  </si>
  <si>
    <t xml:space="preserve">MegaPi Microcontroller</t>
  </si>
  <si>
    <t xml:space="preserve">MakeBlock 25mm DC Encoder motor 9V</t>
  </si>
  <si>
    <t xml:space="preserve">Arduino MOTOR SHIELD Rev 4 Microcontroller</t>
  </si>
  <si>
    <t xml:space="preserve">Tmega328PB Xplained Mini</t>
  </si>
  <si>
    <t xml:space="preserve">Velleman Motor and Power Shield</t>
  </si>
  <si>
    <t xml:space="preserve">pcDUINO</t>
  </si>
  <si>
    <t xml:space="preserve">Round Force Sensor FSR402</t>
  </si>
  <si>
    <t xml:space="preserve">DHT21 Analog humidity sensor</t>
  </si>
  <si>
    <t xml:space="preserve">Infrared Remote</t>
  </si>
  <si>
    <t xml:space="preserve">Keypad 3x3</t>
  </si>
  <si>
    <t xml:space="preserve">Makeblock Ultrasonic Sensor</t>
  </si>
  <si>
    <t xml:space="preserve">MegaPi shield for RJ25</t>
  </si>
  <si>
    <t xml:space="preserve">4 Pins Sensor Cable</t>
  </si>
  <si>
    <t xml:space="preserve">Power Supply Jack socket</t>
  </si>
  <si>
    <t xml:space="preserve">Toggle-Switch SPDT</t>
  </si>
  <si>
    <t xml:space="preserve">Pressure Sensor KY-052 BMP280</t>
  </si>
  <si>
    <t xml:space="preserve">AtMega329P PRO mini Microcontroller</t>
  </si>
  <si>
    <t xml:space="preserve">Heart Beat Sensor KY-039</t>
  </si>
  <si>
    <t xml:space="preserve">FTDI Module</t>
  </si>
  <si>
    <t xml:space="preserve">Banana Pi M2 Microcontroller</t>
  </si>
  <si>
    <t xml:space="preserve">PWM Servo Shield - B</t>
  </si>
  <si>
    <t xml:space="preserve">LR3195</t>
  </si>
  <si>
    <t xml:space="preserve">I2C Level Converter</t>
  </si>
  <si>
    <t xml:space="preserve">Weighing sensor BJ-156</t>
  </si>
  <si>
    <t xml:space="preserve">Intenso microSD 64 GB</t>
  </si>
  <si>
    <t xml:space="preserve">PLATINUM microSD 16GB</t>
  </si>
  <si>
    <t xml:space="preserve">Gesture Sensor Grove PAJ7620U2</t>
  </si>
  <si>
    <t xml:space="preserve">Collision Sensor Grove</t>
  </si>
  <si>
    <t xml:space="preserve">Debo LED RGBY K855396</t>
  </si>
  <si>
    <t xml:space="preserve">Servo Motor S35+XF</t>
  </si>
  <si>
    <t xml:space="preserve">two rented by MD AKram (for ELA Project)</t>
  </si>
  <si>
    <t xml:space="preserve">Servo motor Blue cheap one</t>
  </si>
  <si>
    <t xml:space="preserve">Accelerometer &amp; gyroscope grove LSM6DS3</t>
  </si>
  <si>
    <t xml:space="preserve">Greethga Ferrit ring</t>
  </si>
  <si>
    <t xml:space="preserve">MX-05V 433MHz Sender (square one)</t>
  </si>
  <si>
    <t xml:space="preserve">MX-05V 433MHz Reciever (long one)</t>
  </si>
  <si>
    <t xml:space="preserve">Microchip cufflings *maybe</t>
  </si>
  <si>
    <t xml:space="preserve">I really dk</t>
  </si>
  <si>
    <t xml:space="preserve">Rotary encoder/5-pin-potentiometer with button KY-040</t>
  </si>
  <si>
    <t xml:space="preserve">Rotary encoder/3-pin-potentiometer KB45039</t>
  </si>
  <si>
    <t xml:space="preserve">Rotary encoder/3-pin-potentiometer B10K</t>
  </si>
  <si>
    <t xml:space="preserve">Flame Sensor SE060</t>
  </si>
  <si>
    <t xml:space="preserve">Active Buzzer KB845755</t>
  </si>
  <si>
    <t xml:space="preserve">Digital Temperature sensor KY-028</t>
  </si>
  <si>
    <t xml:space="preserve">Reed Module KY-025</t>
  </si>
  <si>
    <t xml:space="preserve">Mini Magnet Reed Module KY-021</t>
  </si>
  <si>
    <t xml:space="preserve">Microphone sound sensor module KY-038</t>
  </si>
  <si>
    <t xml:space="preserve">Tilt Switch module KY-020</t>
  </si>
  <si>
    <t xml:space="preserve">Linear magnetic hall sensor KY-024</t>
  </si>
  <si>
    <t xml:space="preserve">Arduino GSM shield</t>
  </si>
  <si>
    <t xml:space="preserve">SD Card Arduino shield</t>
  </si>
  <si>
    <t xml:space="preserve">LoRa 32 Wifi BLE</t>
  </si>
  <si>
    <t xml:space="preserve">Arduino Wireless SD Shield</t>
  </si>
  <si>
    <t xml:space="preserve">Waveshare Motor Control Shield</t>
  </si>
  <si>
    <t xml:space="preserve">Raspberry Pi Infrared light 850</t>
  </si>
  <si>
    <t xml:space="preserve">SMD RGB KY-009</t>
  </si>
  <si>
    <t xml:space="preserve">Big Microphone sensor module KY-037 / ST1146</t>
  </si>
  <si>
    <t xml:space="preserve">Gas sensor MQ-2</t>
  </si>
  <si>
    <t xml:space="preserve">Magnetic Hall sensor Module KY-003</t>
  </si>
  <si>
    <t xml:space="preserve">Analog temperature Sensor module KY-013</t>
  </si>
  <si>
    <t xml:space="preserve">Bihor Magnet sensor KY-035</t>
  </si>
  <si>
    <t xml:space="preserve">Photoresistor</t>
  </si>
  <si>
    <t xml:space="preserve">Photoresistor module KY-018</t>
  </si>
  <si>
    <t xml:space="preserve">5V Relay Module KY-019</t>
  </si>
  <si>
    <t xml:space="preserve">Grove Real Time Clock DS1307</t>
  </si>
  <si>
    <t xml:space="preserve">3-axis Acceleremeter GY-61</t>
  </si>
  <si>
    <t xml:space="preserve">JT-Sount Sensor</t>
  </si>
  <si>
    <t xml:space="preserve">Vibration Switch KY-002</t>
  </si>
  <si>
    <t xml:space="preserve">Two colour KY-029</t>
  </si>
  <si>
    <t xml:space="preserve">7 Colour flash KY-034</t>
  </si>
  <si>
    <t xml:space="preserve">Touch Sensor module KY-036</t>
  </si>
  <si>
    <t xml:space="preserve">High Power LED</t>
  </si>
  <si>
    <t xml:space="preserve">Moisture Sensor module HW-080</t>
  </si>
  <si>
    <t xml:space="preserve">Joystick KY-023</t>
  </si>
  <si>
    <t xml:space="preserve">No other identifiers</t>
  </si>
  <si>
    <t xml:space="preserve">Lightblocking Sensor KY-010</t>
  </si>
  <si>
    <t xml:space="preserve">Magic light Cup KY-027</t>
  </si>
  <si>
    <t xml:space="preserve">Knock Sensor module KY-031</t>
  </si>
  <si>
    <t xml:space="preserve">4 relay module</t>
  </si>
  <si>
    <t xml:space="preserve">XBee Bluetooth module HC-05/HC-06</t>
  </si>
  <si>
    <t xml:space="preserve">Makershop Bluetooth module ZS-040</t>
  </si>
  <si>
    <t xml:space="preserve">CBS-MotoDriver2 HW-95</t>
  </si>
  <si>
    <t xml:space="preserve">Flight Control Sensor GY-86</t>
  </si>
  <si>
    <t xml:space="preserve">Segment Display</t>
  </si>
  <si>
    <t xml:space="preserve">Barometer (High accuracy)</t>
  </si>
  <si>
    <t xml:space="preserve">IR sensor KY-032</t>
  </si>
  <si>
    <t xml:space="preserve">Tracking sensor KY-033</t>
  </si>
  <si>
    <t xml:space="preserve">Soil Humidity Sensor</t>
  </si>
  <si>
    <t xml:space="preserve">GPS NEO-6M Reciever Module</t>
  </si>
  <si>
    <t xml:space="preserve">Laser Ping 2m Range finder</t>
  </si>
  <si>
    <t xml:space="preserve">USB Power Detector</t>
  </si>
  <si>
    <t xml:space="preserve">Micro Switch TO415</t>
  </si>
  <si>
    <t xml:space="preserve">RFID Reader chip</t>
  </si>
  <si>
    <t xml:space="preserve">LED ring</t>
  </si>
  <si>
    <t xml:space="preserve">Keyes Ball Switch SE023</t>
  </si>
  <si>
    <t xml:space="preserve">Voltage translator KY-051</t>
  </si>
  <si>
    <t xml:space="preserve">Kit Components</t>
  </si>
  <si>
    <t xml:space="preserve">Ir Reciever Module</t>
  </si>
  <si>
    <t xml:space="preserve">IR transmitter</t>
  </si>
  <si>
    <t xml:space="preserve">Temperature and humidity sensor KY-15</t>
  </si>
  <si>
    <t xml:space="preserve">BiDirectional Bus</t>
  </si>
  <si>
    <t xml:space="preserve">REELY 6-channel Reciever</t>
  </si>
  <si>
    <t xml:space="preserve">AREXX Ultrasound Measurement ARX-ULT10</t>
  </si>
  <si>
    <t xml:space="preserve">IR reciever Raw</t>
  </si>
  <si>
    <t xml:space="preserve">Temperature Sensor Raw</t>
  </si>
  <si>
    <t xml:space="preserve">Analog Digital Converter</t>
  </si>
  <si>
    <t xml:space="preserve">Analog Digital Converter KY-053</t>
  </si>
  <si>
    <t xml:space="preserve">Tilt Sensor Raw</t>
  </si>
  <si>
    <t xml:space="preserve">Tilt Switch module KY-017</t>
  </si>
  <si>
    <t xml:space="preserve">RGB and Gesture sensor SF12787  /  APDS-9960</t>
  </si>
  <si>
    <t xml:space="preserve">Complete ASURE Minesweeper kit ARX-MSPS5</t>
  </si>
  <si>
    <t xml:space="preserve">ASURO Snake Vision Kit ARX-SNK20</t>
  </si>
  <si>
    <t xml:space="preserve">RFID chip</t>
  </si>
  <si>
    <t xml:space="preserve">Goobay 3 - 12 V Universal Power Supply 67951</t>
  </si>
  <si>
    <t xml:space="preserve">Goobay 12V supply 5.5x2.1mm plug 64977</t>
  </si>
  <si>
    <t xml:space="preserve">(also in: Goobay Power Supply 12V)</t>
  </si>
  <si>
    <t xml:space="preserve">MeanWell Power Supply 5V GST25E05-P1J</t>
  </si>
  <si>
    <t xml:space="preserve">Acoustic panel</t>
  </si>
  <si>
    <t xml:space="preserve">ARD R3 DIP PRECISION Empty boxes</t>
  </si>
  <si>
    <t xml:space="preserve">ARD R3 DIP PRECISION</t>
  </si>
  <si>
    <t xml:space="preserve">Arduino Nano ESP32</t>
  </si>
  <si>
    <t xml:space="preserve">Arduino Due</t>
  </si>
  <si>
    <t xml:space="preserve">Arduino Mega 2560</t>
  </si>
  <si>
    <t xml:space="preserve">(also in: Microcontrollers)</t>
  </si>
  <si>
    <t xml:space="preserve">SainSmart Mega 2560 Microcontroller</t>
  </si>
  <si>
    <t xml:space="preserve">Arduino UNO</t>
  </si>
  <si>
    <t xml:space="preserve">Arduino Motor Shield</t>
  </si>
  <si>
    <t xml:space="preserve">Arduino MKR ETH Shield</t>
  </si>
  <si>
    <t xml:space="preserve">Arduino Nano (ATmega328P)</t>
  </si>
  <si>
    <t xml:space="preserve">ASURO / YETI USB IR-REANSCEIVER</t>
  </si>
  <si>
    <t xml:space="preserve">ASURO RobotKit</t>
  </si>
  <si>
    <t xml:space="preserve">Assembled Jetson Robots</t>
  </si>
  <si>
    <t xml:space="preserve">CARSON wheel remote control</t>
  </si>
  <si>
    <t xml:space="preserve">AAR Robot Programmable robot</t>
  </si>
  <si>
    <t xml:space="preserve">TAMIYA Color for Acryl paint spray for polycarbonates</t>
  </si>
  <si>
    <t xml:space="preserve">Makeblock mBot</t>
  </si>
  <si>
    <t xml:space="preserve">Carreta Digital 132 SlotTrack Car</t>
  </si>
  <si>
    <t xml:space="preserve">PlayTastic Robot arm and box</t>
  </si>
  <si>
    <t xml:space="preserve">Mega 2560 (Generic Chinese)</t>
  </si>
  <si>
    <t xml:space="preserve">Joy-IT UNO (ATmega328P) Microcontroller</t>
  </si>
  <si>
    <t xml:space="preserve">Conveyor Kit for Dobot Magician</t>
  </si>
  <si>
    <t xml:space="preserve">Candy graber Box</t>
  </si>
  <si>
    <t xml:space="preserve">Joy-IT R3DIP-P Microcontrollers</t>
  </si>
  <si>
    <t xml:space="preserve">Joy-IT ARD MEGA 2560 PRECISION</t>
  </si>
  <si>
    <t xml:space="preserve">XBOX ONE Kinect</t>
  </si>
  <si>
    <t xml:space="preserve">XBOX Kinect</t>
  </si>
  <si>
    <t xml:space="preserve">XBOX Kinect Adaptor</t>
  </si>
  <si>
    <t xml:space="preserve">OKdo Paspbery Pi camera module</t>
  </si>
  <si>
    <t xml:space="preserve">(also in: but looks expensive and has cameras)</t>
  </si>
  <si>
    <t xml:space="preserve">Joy-it RB-camera WW 5MP for raspberry p</t>
  </si>
  <si>
    <t xml:space="preserve">1 rented by domenic Drechsel</t>
  </si>
  <si>
    <t xml:space="preserve">UNI-T 131 Multimeter</t>
  </si>
  <si>
    <t xml:space="preserve">ATORN Digital multimeter</t>
  </si>
  <si>
    <t xml:space="preserve">USB type b 3.0</t>
  </si>
  <si>
    <t xml:space="preserve">Velleman-kit Arduino RGB shield</t>
  </si>
  <si>
    <t xml:space="preserve">Checkout Log — Borrowing Events</t>
  </si>
  <si>
    <t xml:space="preserve">Qty</t>
  </si>
  <si>
    <t xml:space="preserve">Borrower Name</t>
  </si>
  <si>
    <t xml:space="preserve">Student/Staff ID</t>
  </si>
  <si>
    <t xml:space="preserve">SHK (processed by)</t>
  </si>
  <si>
    <t xml:space="preserve">Returned Date</t>
  </si>
  <si>
    <t xml:space="preserve">Return Condition</t>
  </si>
  <si>
    <t xml:space="preserve">Status</t>
  </si>
  <si>
    <t xml:space="preserve">Narmada</t>
  </si>
  <si>
    <t xml:space="preserve">Shehan</t>
  </si>
  <si>
    <t xml:space="preserve">domenic Drechsel</t>
  </si>
  <si>
    <t xml:space="preserve">MD Akram</t>
  </si>
  <si>
    <t xml:space="preserve">Search — Find Any Item</t>
  </si>
  <si>
    <t xml:space="preserve">Type item name:</t>
  </si>
  <si>
    <t xml:space="preserve">← type part of an item name; results below update automatically. Leave blank to show everything.</t>
  </si>
  <si>
    <t xml:space="preserve">Random &amp; Unknown Items</t>
  </si>
  <si>
    <t xml:space="preserve">Items that couldn't be identified or don't fit anywhere. Assign a proper bin/closet when identified.</t>
  </si>
  <si>
    <t xml:space="preserve">Description</t>
  </si>
  <si>
    <t xml:space="preserve">Found In / Location</t>
  </si>
  <si>
    <t xml:space="preserve">Photo / Notes</t>
  </si>
  <si>
    <t xml:space="preserve">Looks Like</t>
  </si>
  <si>
    <t xml:space="preserve">Assigned 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</si>
</sst>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8"/>
      <color rgb="FF2F4F4F"/>
      <name val="Calibri"/>
      <family val="0"/>
      <charset val="1"/>
    </font>
    <font>
      <sz val="9"/>
      <color rgb="FF88888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5"/>
      <color rgb="FF2F4F4F"/>
      <name val="Calibri"/>
      <family val="0"/>
      <charset val="1"/>
    </font>
    <font>
      <sz val="10"/>
      <name val="Calibri"/>
      <family val="1"/>
      <charset val="1"/>
    </font>
    <font>
      <sz val="10"/>
      <color theme="1"/>
      <name val="Calibri"/>
      <family val="0"/>
      <charset val="1"/>
    </font>
    <font>
      <b val="true"/>
      <sz val="11"/>
      <color rgb="FF2F4F4F"/>
      <name val="Calibri"/>
      <family val="0"/>
      <charset val="1"/>
    </font>
    <font>
      <sz val="11"/>
      <name val="Calibri"/>
      <family val="0"/>
      <charset val="1"/>
    </font>
    <font>
      <i val="true"/>
      <sz val="9"/>
      <color rgb="FF888888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F7F7F7"/>
        <bgColor rgb="FFF2F2F2"/>
      </patternFill>
    </fill>
    <fill>
      <patternFill patternType="solid">
        <fgColor rgb="FF4A7C59"/>
        <bgColor rgb="FF666699"/>
      </patternFill>
    </fill>
    <fill>
      <patternFill patternType="solid">
        <fgColor rgb="FFFFFFFF"/>
        <bgColor rgb="FFF7F7F7"/>
      </patternFill>
    </fill>
    <fill>
      <patternFill patternType="solid">
        <fgColor rgb="FFF2F2F2"/>
        <bgColor rgb="FFF7F7F7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6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6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5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5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8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1" xfId="20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70AD47"/>
      <rgbColor rgb="FFFFCC00"/>
      <rgbColor rgb="FFFF9900"/>
      <rgbColor rgb="FFED7D31"/>
      <rgbColor rgb="FF666699"/>
      <rgbColor rgb="FF888888"/>
      <rgbColor rgb="FF003366"/>
      <rgbColor rgb="FF4A7C59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4F4F"/>
    <pageSetUpPr fitToPage="false"/>
  </sheetPr>
  <dimension ref="A1:G3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40.07"/>
    <col collapsed="false" customWidth="true" hidden="false" outlineLevel="0" max="2" min="2" style="1" width="37.34"/>
    <col collapsed="false" customWidth="true" hidden="false" outlineLevel="0" max="3" min="3" style="1" width="33.44"/>
    <col collapsed="false" customWidth="true" hidden="false" outlineLevel="0" max="4" min="4" style="1" width="32.72"/>
    <col collapsed="false" customWidth="true" hidden="false" outlineLevel="0" max="5" min="5" style="1" width="29.26"/>
    <col collapsed="false" customWidth="true" hidden="false" outlineLevel="0" max="6" min="6" style="1" width="38.77"/>
    <col collapsed="false" customWidth="false" hidden="true" outlineLevel="0" max="7" min="7" style="1" width="8.76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9.75" hidden="false" customHeight="true" outlineLevel="0" collapsed="false"/>
    <row r="4" customFormat="false" ht="19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36" hidden="false" customHeight="true" outlineLevel="0" collapsed="false">
      <c r="A5" s="5" t="n">
        <f aca="false">COUNTA(Inventory!A3:A302)</f>
        <v>244</v>
      </c>
      <c r="B5" s="5" t="n">
        <f aca="false">SUM(Inventory!C3:C302)</f>
        <v>2160</v>
      </c>
      <c r="C5" s="5" t="n">
        <f aca="false">COUNTA(Bins!A3:A262)</f>
        <v>238</v>
      </c>
      <c r="D5" s="5" t="n">
        <f aca="false">COUNTIF('Checkout Log'!L3:L302,"Checked Out")</f>
        <v>4</v>
      </c>
      <c r="E5" s="5" t="n">
        <f aca="false">COUNTIF('Checkout Log'!L3:L302,"Overdue")</f>
        <v>0</v>
      </c>
      <c r="F5" s="5" t="n">
        <f aca="false">COUNTIF('Checkout Log'!L3:L302,"Returned")</f>
        <v>0</v>
      </c>
    </row>
    <row r="6" customFormat="false" ht="9.75" hidden="false" customHeight="true" outlineLevel="0" collapsed="false"/>
    <row r="7" customFormat="false" ht="21.75" hidden="false" customHeight="true" outlineLevel="0" collapsed="false">
      <c r="A7" s="6" t="s">
        <v>8</v>
      </c>
      <c r="B7" s="6"/>
      <c r="C7" s="6"/>
      <c r="D7" s="6"/>
      <c r="E7" s="6"/>
      <c r="F7" s="6"/>
    </row>
    <row r="8" customFormat="false" ht="15" hidden="false" customHeight="false" outlineLevel="0" collapsed="false">
      <c r="A8" s="7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</row>
    <row r="9" customFormat="false" ht="9.75" hidden="false" customHeight="true" outlineLevel="0" collapsed="false">
      <c r="A9" s="8" t="str">
        <f aca="false">IF(Closets!A3="","",Closets!A3)</f>
        <v>C1</v>
      </c>
      <c r="B9" s="8" t="str">
        <f aca="false">IF(Closets!A3="","",Closets!B3)</f>
        <v>PC Periphery</v>
      </c>
      <c r="C9" s="8" t="n">
        <f aca="false">IF(Closets!A3="","",Closets!C3)</f>
        <v>5</v>
      </c>
      <c r="D9" s="8" t="n">
        <f aca="false">IF(Closets!A3="","",COUNTIF(Bins!$B:$B,Closets!A3))</f>
        <v>18</v>
      </c>
      <c r="E9" s="8" t="n">
        <f aca="false">IF(Closets!A3="","",COUNTIF(Inventory!$E:$E,Closets!A3))</f>
        <v>15</v>
      </c>
      <c r="F9" s="8" t="n">
        <f aca="false">IF(Closets!A3="","",SUMIF(Inventory!$E:$E,Closets!A3,Inventory!$C:$C))</f>
        <v>145</v>
      </c>
    </row>
    <row r="10" customFormat="false" ht="15" hidden="false" customHeight="false" outlineLevel="0" collapsed="false">
      <c r="A10" s="9" t="str">
        <f aca="false">IF(Closets!A4="","",Closets!A4)</f>
        <v>C2</v>
      </c>
      <c r="B10" s="9" t="str">
        <f aca="false">IF(Closets!A4="","",Closets!B4)</f>
        <v>ELE stuff</v>
      </c>
      <c r="C10" s="9" t="n">
        <f aca="false">IF(Closets!A4="","",Closets!C4)</f>
        <v>5</v>
      </c>
      <c r="D10" s="9" t="n">
        <f aca="false">IF(Closets!A4="","",COUNTIF(Bins!$B:$B,Closets!A4))</f>
        <v>20</v>
      </c>
      <c r="E10" s="9" t="n">
        <f aca="false">IF(Closets!A4="","",COUNTIF(Inventory!$E:$E,Closets!A4))</f>
        <v>20</v>
      </c>
      <c r="F10" s="9" t="n">
        <f aca="false">IF(Closets!A4="","",SUMIF(Inventory!$E:$E,Closets!A4,Inventory!$C:$C))</f>
        <v>150</v>
      </c>
    </row>
    <row r="11" customFormat="false" ht="15" hidden="false" customHeight="false" outlineLevel="0" collapsed="false">
      <c r="A11" s="8" t="str">
        <f aca="false">IF(Closets!A5="","",Closets!A5)</f>
        <v>C3</v>
      </c>
      <c r="B11" s="8" t="str">
        <f aca="false">IF(Closets!A5="","",Closets!B5)</f>
        <v>ELE stuff</v>
      </c>
      <c r="C11" s="8" t="n">
        <f aca="false">IF(Closets!A5="","",Closets!C5)</f>
        <v>9</v>
      </c>
      <c r="D11" s="8" t="n">
        <f aca="false">IF(Closets!A5="","",COUNTIF(Bins!$B:$B,Closets!A5))</f>
        <v>94</v>
      </c>
      <c r="E11" s="8" t="n">
        <f aca="false">IF(Closets!A5="","",COUNTIF(Inventory!$E:$E,Closets!A5))</f>
        <v>139</v>
      </c>
      <c r="F11" s="8" t="n">
        <f aca="false">IF(Closets!A5="","",SUMIF(Inventory!$E:$E,Closets!A5,Inventory!$C:$C))</f>
        <v>1283</v>
      </c>
    </row>
    <row r="12" customFormat="false" ht="15" hidden="false" customHeight="false" outlineLevel="0" collapsed="false">
      <c r="A12" s="9" t="str">
        <f aca="false">IF(Closets!A6="","",Closets!A6)</f>
        <v>C4</v>
      </c>
      <c r="B12" s="9" t="str">
        <f aca="false">IF(Closets!A6="","",Closets!B6)</f>
        <v>Tools</v>
      </c>
      <c r="C12" s="9" t="n">
        <f aca="false">IF(Closets!A6="","",Closets!C6)</f>
        <v>5</v>
      </c>
      <c r="D12" s="9" t="n">
        <f aca="false">IF(Closets!A6="","",COUNTIF(Bins!$B:$B,Closets!A6))</f>
        <v>14</v>
      </c>
      <c r="E12" s="9" t="n">
        <f aca="false">IF(Closets!A6="","",COUNTIF(Inventory!$E:$E,Closets!A6))</f>
        <v>3</v>
      </c>
      <c r="F12" s="9" t="n">
        <f aca="false">IF(Closets!A6="","",SUMIF(Inventory!$E:$E,Closets!A6,Inventory!$C:$C))</f>
        <v>18</v>
      </c>
    </row>
    <row r="13" customFormat="false" ht="15" hidden="false" customHeight="false" outlineLevel="0" collapsed="false">
      <c r="A13" s="8" t="str">
        <f aca="false">IF(Closets!A7="","",Closets!A7)</f>
        <v>C5</v>
      </c>
      <c r="B13" s="8" t="str">
        <f aca="false">IF(Closets!A7="","",Closets!B7)</f>
        <v>Projects</v>
      </c>
      <c r="C13" s="8" t="n">
        <f aca="false">IF(Closets!A7="","",Closets!C7)</f>
        <v>4</v>
      </c>
      <c r="D13" s="8" t="n">
        <f aca="false">IF(Closets!A7="","",COUNTIF(Bins!$B:$B,Closets!A7))</f>
        <v>12</v>
      </c>
      <c r="E13" s="8" t="n">
        <f aca="false">IF(Closets!A7="","",COUNTIF(Inventory!$E:$E,Closets!A7))</f>
        <v>1</v>
      </c>
      <c r="F13" s="8" t="n">
        <f aca="false">IF(Closets!A7="","",SUMIF(Inventory!$E:$E,Closets!A7,Inventory!$C:$C))</f>
        <v>4</v>
      </c>
    </row>
    <row r="14" customFormat="false" ht="15" hidden="false" customHeight="false" outlineLevel="0" collapsed="false">
      <c r="A14" s="9" t="str">
        <f aca="false">IF(Closets!A8="","",Closets!A8)</f>
        <v>C6</v>
      </c>
      <c r="B14" s="9" t="str">
        <f aca="false">IF(Closets!A8="","",Closets!B8)</f>
        <v>Misc</v>
      </c>
      <c r="C14" s="9" t="n">
        <f aca="false">IF(Closets!A8="","",Closets!C8)</f>
        <v>4</v>
      </c>
      <c r="D14" s="9" t="n">
        <f aca="false">IF(Closets!A8="","",COUNTIF(Bins!$B:$B,Closets!A8))</f>
        <v>8</v>
      </c>
      <c r="E14" s="9" t="n">
        <f aca="false">IF(Closets!A8="","",COUNTIF(Inventory!$E:$E,Closets!A8))</f>
        <v>3</v>
      </c>
      <c r="F14" s="9" t="n">
        <f aca="false">IF(Closets!A8="","",SUMIF(Inventory!$E:$E,Closets!A8,Inventory!$C:$C))</f>
        <v>58</v>
      </c>
    </row>
    <row r="15" customFormat="false" ht="15" hidden="false" customHeight="false" outlineLevel="0" collapsed="false">
      <c r="A15" s="8" t="str">
        <f aca="false">IF(Closets!A9="","",Closets!A9)</f>
        <v>C7</v>
      </c>
      <c r="B15" s="8" t="str">
        <f aca="false">IF(Closets!A9="","",Closets!B9)</f>
        <v>Boxes</v>
      </c>
      <c r="C15" s="8" t="n">
        <f aca="false">IF(Closets!A9="","",Closets!C9)</f>
        <v>5</v>
      </c>
      <c r="D15" s="8" t="n">
        <f aca="false">IF(Closets!A9="","",COUNTIF(Bins!$B:$B,Closets!A9))</f>
        <v>7</v>
      </c>
      <c r="E15" s="8" t="n">
        <f aca="false">IF(Closets!A9="","",COUNTIF(Inventory!$E:$E,Closets!A9))</f>
        <v>3</v>
      </c>
      <c r="F15" s="8" t="n">
        <f aca="false">IF(Closets!A9="","",SUMIF(Inventory!$E:$E,Closets!A9,Inventory!$C:$C))</f>
        <v>50</v>
      </c>
    </row>
    <row r="16" customFormat="false" ht="15" hidden="false" customHeight="false" outlineLevel="0" collapsed="false">
      <c r="A16" s="9" t="str">
        <f aca="false">IF(Closets!A10="","",Closets!A10)</f>
        <v>SCC1</v>
      </c>
      <c r="B16" s="9" t="str">
        <f aca="false">IF(Closets!A10="","",Closets!B10)</f>
        <v>ELE stuff</v>
      </c>
      <c r="C16" s="9" t="n">
        <f aca="false">IF(Closets!A10="","",Closets!C10)</f>
        <v>5</v>
      </c>
      <c r="D16" s="9" t="n">
        <f aca="false">IF(Closets!A10="","",COUNTIF(Bins!$B:$B,Closets!A10))</f>
        <v>0</v>
      </c>
      <c r="E16" s="9" t="n">
        <f aca="false">IF(Closets!A10="","",COUNTIF(Inventory!$E:$E,Closets!A10))</f>
        <v>0</v>
      </c>
      <c r="F16" s="9" t="n">
        <f aca="false">IF(Closets!A10="","",SUMIF(Inventory!$E:$E,Closets!A10,Inventory!$C:$C))</f>
        <v>0</v>
      </c>
    </row>
    <row r="17" customFormat="false" ht="15" hidden="false" customHeight="false" outlineLevel="0" collapsed="false">
      <c r="A17" s="8" t="str">
        <f aca="false">IF(Closets!A11="","",Closets!A11)</f>
        <v>SCC2</v>
      </c>
      <c r="B17" s="8" t="str">
        <f aca="false">IF(Closets!A11="","",Closets!B11)</f>
        <v>Tools</v>
      </c>
      <c r="C17" s="8" t="n">
        <f aca="false">IF(Closets!A11="","",Closets!C11)</f>
        <v>5</v>
      </c>
      <c r="D17" s="8" t="n">
        <f aca="false">IF(Closets!A11="","",COUNTIF(Bins!$B:$B,Closets!A11))</f>
        <v>0</v>
      </c>
      <c r="E17" s="8" t="n">
        <f aca="false">IF(Closets!A11="","",COUNTIF(Inventory!$E:$E,Closets!A11))</f>
        <v>0</v>
      </c>
      <c r="F17" s="8" t="n">
        <f aca="false">IF(Closets!A11="","",SUMIF(Inventory!$E:$E,Closets!A11,Inventory!$C:$C))</f>
        <v>0</v>
      </c>
    </row>
    <row r="18" customFormat="false" ht="15" hidden="false" customHeight="false" outlineLevel="0" collapsed="false">
      <c r="A18" s="9" t="str">
        <f aca="false">IF(Closets!A12="","",Closets!A12)</f>
        <v>SCC3</v>
      </c>
      <c r="B18" s="9" t="str">
        <f aca="false">IF(Closets!A12="","",Closets!B12)</f>
        <v>Tools</v>
      </c>
      <c r="C18" s="9" t="n">
        <f aca="false">IF(Closets!A12="","",Closets!C12)</f>
        <v>5</v>
      </c>
      <c r="D18" s="9" t="n">
        <f aca="false">IF(Closets!A12="","",COUNTIF(Bins!$B:$B,Closets!A12))</f>
        <v>0</v>
      </c>
      <c r="E18" s="9" t="n">
        <f aca="false">IF(Closets!A12="","",COUNTIF(Inventory!$E:$E,Closets!A12))</f>
        <v>0</v>
      </c>
      <c r="F18" s="9" t="n">
        <f aca="false">IF(Closets!A12="","",SUMIF(Inventory!$E:$E,Closets!A12,Inventory!$C:$C))</f>
        <v>0</v>
      </c>
    </row>
    <row r="19" customFormat="false" ht="15" hidden="false" customHeight="false" outlineLevel="0" collapsed="false">
      <c r="A19" s="8" t="str">
        <f aca="false">IF(Closets!A13="","",Closets!A13)</f>
        <v>SCC4</v>
      </c>
      <c r="B19" s="8" t="str">
        <f aca="false">IF(Closets!A13="","",Closets!B13)</f>
        <v>Projects</v>
      </c>
      <c r="C19" s="8" t="n">
        <f aca="false">IF(Closets!A13="","",Closets!C13)</f>
        <v>5</v>
      </c>
      <c r="D19" s="8" t="n">
        <f aca="false">IF(Closets!A13="","",COUNTIF(Bins!$B:$B,Closets!A13))</f>
        <v>0</v>
      </c>
      <c r="E19" s="8" t="n">
        <f aca="false">IF(Closets!A13="","",COUNTIF(Inventory!$E:$E,Closets!A13))</f>
        <v>0</v>
      </c>
      <c r="F19" s="8" t="n">
        <f aca="false">IF(Closets!A13="","",SUMIF(Inventory!$E:$E,Closets!A13,Inventory!$C:$C))</f>
        <v>0</v>
      </c>
    </row>
    <row r="20" customFormat="false" ht="15" hidden="false" customHeight="false" outlineLevel="0" collapsed="false">
      <c r="A20" s="9" t="str">
        <f aca="false">IF(Closets!A14="","",Closets!A14)</f>
        <v>SL5</v>
      </c>
      <c r="B20" s="9" t="str">
        <f aca="false">IF(Closets!A14="","",Closets!B14)</f>
        <v>Misc</v>
      </c>
      <c r="C20" s="9" t="n">
        <f aca="false">IF(Closets!A14="","",Closets!C14)</f>
        <v>4</v>
      </c>
      <c r="D20" s="9" t="n">
        <f aca="false">IF(Closets!A14="","",COUNTIF(Bins!$B:$B,Closets!A14))</f>
        <v>8</v>
      </c>
      <c r="E20" s="9" t="n">
        <f aca="false">IF(Closets!A14="","",COUNTIF(Inventory!$E:$E,Closets!A14))</f>
        <v>1</v>
      </c>
      <c r="F20" s="9" t="n">
        <f aca="false">IF(Closets!A14="","",SUMIF(Inventory!$E:$E,Closets!A14,Inventory!$C:$C))</f>
        <v>18</v>
      </c>
    </row>
    <row r="21" customFormat="false" ht="15" hidden="false" customHeight="false" outlineLevel="0" collapsed="false">
      <c r="A21" s="8" t="str">
        <f aca="false">IF(Closets!A15="","",Closets!A15)</f>
        <v>SL4</v>
      </c>
      <c r="B21" s="8" t="str">
        <f aca="false">IF(Closets!A15="","",Closets!B15)</f>
        <v>Microcontrollers</v>
      </c>
      <c r="C21" s="8" t="n">
        <f aca="false">IF(Closets!A15="","",Closets!C15)</f>
        <v>5</v>
      </c>
      <c r="D21" s="8" t="n">
        <f aca="false">IF(Closets!A15="","",COUNTIF(Bins!$B:$B,Closets!A15))</f>
        <v>10</v>
      </c>
      <c r="E21" s="8" t="n">
        <f aca="false">IF(Closets!A15="","",COUNTIF(Inventory!$E:$E,Closets!A15))</f>
        <v>17</v>
      </c>
      <c r="F21" s="8" t="n">
        <f aca="false">IF(Closets!A15="","",SUMIF(Inventory!$E:$E,Closets!A15,Inventory!$C:$C))</f>
        <v>212</v>
      </c>
    </row>
    <row r="22" customFormat="false" ht="15" hidden="false" customHeight="false" outlineLevel="0" collapsed="false">
      <c r="A22" s="9" t="str">
        <f aca="false">IF(Closets!A16="","",Closets!A16)</f>
        <v>SL3</v>
      </c>
      <c r="B22" s="9" t="str">
        <f aca="false">IF(Closets!A16="","",Closets!B16)</f>
        <v>cars</v>
      </c>
      <c r="C22" s="9" t="n">
        <f aca="false">IF(Closets!A16="","",Closets!C16)</f>
        <v>5</v>
      </c>
      <c r="D22" s="9" t="n">
        <f aca="false">IF(Closets!A16="","",COUNTIF(Bins!$B:$B,Closets!A16))</f>
        <v>9</v>
      </c>
      <c r="E22" s="9" t="n">
        <f aca="false">IF(Closets!A16="","",COUNTIF(Inventory!$E:$E,Closets!A16))</f>
        <v>12</v>
      </c>
      <c r="F22" s="9" t="n">
        <f aca="false">IF(Closets!A16="","",SUMIF(Inventory!$E:$E,Closets!A16,Inventory!$C:$C))</f>
        <v>29</v>
      </c>
    </row>
    <row r="23" customFormat="false" ht="15" hidden="false" customHeight="false" outlineLevel="0" collapsed="false">
      <c r="A23" s="8" t="str">
        <f aca="false">IF(Closets!A17="","",Closets!A17)</f>
        <v>SL2</v>
      </c>
      <c r="B23" s="8" t="n">
        <f aca="false">IF(Closets!A17="","",Closets!B17)</f>
        <v>0</v>
      </c>
      <c r="C23" s="8" t="n">
        <f aca="false">IF(Closets!A17="","",Closets!C17)</f>
        <v>5</v>
      </c>
      <c r="D23" s="8" t="n">
        <f aca="false">IF(Closets!A17="","",COUNTIF(Bins!$B:$B,Closets!A17))</f>
        <v>22</v>
      </c>
      <c r="E23" s="8" t="n">
        <f aca="false">IF(Closets!A17="","",COUNTIF(Inventory!$E:$E,Closets!A17))</f>
        <v>21</v>
      </c>
      <c r="F23" s="8" t="n">
        <f aca="false">IF(Closets!A17="","",SUMIF(Inventory!$E:$E,Closets!A17,Inventory!$C:$C))</f>
        <v>138</v>
      </c>
    </row>
    <row r="24" customFormat="false" ht="15" hidden="false" customHeight="false" outlineLevel="0" collapsed="false">
      <c r="A24" s="9" t="str">
        <f aca="false">IF(Closets!A18="","",Closets!A18)</f>
        <v>SL1</v>
      </c>
      <c r="B24" s="9" t="n">
        <f aca="false">IF(Closets!A18="","",Closets!B18)</f>
        <v>0</v>
      </c>
      <c r="C24" s="9" t="n">
        <f aca="false">IF(Closets!A18="","",Closets!C18)</f>
        <v>4</v>
      </c>
      <c r="D24" s="9" t="n">
        <f aca="false">IF(Closets!A18="","",COUNTIF(Bins!$B:$B,Closets!A18))</f>
        <v>9</v>
      </c>
      <c r="E24" s="9" t="n">
        <f aca="false">IF(Closets!A18="","",COUNTIF(Inventory!$E:$E,Closets!A18))</f>
        <v>3</v>
      </c>
      <c r="F24" s="9" t="n">
        <f aca="false">IF(Closets!A18="","",SUMIF(Inventory!$E:$E,Closets!A18,Inventory!$C:$C))</f>
        <v>15</v>
      </c>
    </row>
    <row r="25" customFormat="false" ht="15" hidden="false" customHeight="false" outlineLevel="0" collapsed="false">
      <c r="A25" s="8" t="str">
        <f aca="false">IF(Closets!A19="","",Closets!A19)</f>
        <v/>
      </c>
      <c r="B25" s="8" t="str">
        <f aca="false">IF(Closets!A19="","",Closets!B19)</f>
        <v/>
      </c>
      <c r="C25" s="8" t="str">
        <f aca="false">IF(Closets!A19="","",Closets!C19)</f>
        <v/>
      </c>
      <c r="D25" s="8" t="str">
        <f aca="false">IF(Closets!A19="","",COUNTIF(Bins!$B:$B,Closets!A19))</f>
        <v/>
      </c>
      <c r="E25" s="8" t="str">
        <f aca="false">IF(Closets!A19="","",COUNTIF(Inventory!$E:$E,Closets!A19))</f>
        <v/>
      </c>
      <c r="F25" s="8" t="str">
        <f aca="false">IF(Closets!A19="","",SUMIF(Inventory!$E:$E,Closets!A19,Inventory!$C:$C))</f>
        <v/>
      </c>
    </row>
    <row r="26" customFormat="false" ht="15" hidden="false" customHeight="false" outlineLevel="0" collapsed="false">
      <c r="A26" s="9" t="str">
        <f aca="false">IF(Closets!A20="","",Closets!A20)</f>
        <v/>
      </c>
      <c r="B26" s="9" t="str">
        <f aca="false">IF(Closets!A20="","",Closets!B20)</f>
        <v/>
      </c>
      <c r="C26" s="9" t="str">
        <f aca="false">IF(Closets!A20="","",Closets!C20)</f>
        <v/>
      </c>
      <c r="D26" s="9" t="str">
        <f aca="false">IF(Closets!A20="","",COUNTIF(Bins!$B:$B,Closets!A20))</f>
        <v/>
      </c>
      <c r="E26" s="9" t="str">
        <f aca="false">IF(Closets!A20="","",COUNTIF(Inventory!$E:$E,Closets!A20))</f>
        <v/>
      </c>
      <c r="F26" s="9" t="str">
        <f aca="false">IF(Closets!A20="","",SUMIF(Inventory!$E:$E,Closets!A20,Inventory!$C:$C))</f>
        <v/>
      </c>
    </row>
    <row r="27" customFormat="false" ht="15" hidden="false" customHeight="false" outlineLevel="0" collapsed="false">
      <c r="A27" s="8" t="str">
        <f aca="false">IF(Closets!A21="","",Closets!A21)</f>
        <v/>
      </c>
      <c r="B27" s="8" t="str">
        <f aca="false">IF(Closets!A21="","",Closets!B21)</f>
        <v/>
      </c>
      <c r="C27" s="8" t="str">
        <f aca="false">IF(Closets!A21="","",Closets!C21)</f>
        <v/>
      </c>
      <c r="D27" s="8" t="str">
        <f aca="false">IF(Closets!A21="","",COUNTIF(Bins!$B:$B,Closets!A21))</f>
        <v/>
      </c>
      <c r="E27" s="8" t="str">
        <f aca="false">IF(Closets!A21="","",COUNTIF(Inventory!$E:$E,Closets!A21))</f>
        <v/>
      </c>
      <c r="F27" s="8" t="str">
        <f aca="false">IF(Closets!A21="","",SUMIF(Inventory!$E:$E,Closets!A21,Inventory!$C:$C))</f>
        <v/>
      </c>
    </row>
    <row r="28" customFormat="false" ht="15" hidden="false" customHeight="false" outlineLevel="0" collapsed="false">
      <c r="A28" s="9" t="str">
        <f aca="false">IF(Closets!A22="","",Closets!A22)</f>
        <v/>
      </c>
      <c r="B28" s="9" t="str">
        <f aca="false">IF(Closets!A22="","",Closets!B22)</f>
        <v/>
      </c>
      <c r="C28" s="9" t="str">
        <f aca="false">IF(Closets!A22="","",Closets!C22)</f>
        <v/>
      </c>
      <c r="D28" s="9" t="str">
        <f aca="false">IF(Closets!A22="","",COUNTIF(Bins!$B:$B,Closets!A22))</f>
        <v/>
      </c>
      <c r="E28" s="9" t="str">
        <f aca="false">IF(Closets!A22="","",COUNTIF(Inventory!$E:$E,Closets!A22))</f>
        <v/>
      </c>
      <c r="F28" s="9" t="str">
        <f aca="false">IF(Closets!A22="","",SUMIF(Inventory!$E:$E,Closets!A22,Inventory!$C:$C))</f>
        <v/>
      </c>
    </row>
    <row r="30" customFormat="false" ht="21.75" hidden="false" customHeight="true" outlineLevel="0" collapsed="false">
      <c r="A30" s="10" t="s">
        <v>15</v>
      </c>
      <c r="B30" s="10"/>
      <c r="C30" s="10"/>
      <c r="D30" s="10"/>
      <c r="E30" s="10"/>
      <c r="F30" s="10"/>
    </row>
    <row r="31" customFormat="false" ht="15" hidden="false" customHeight="false" outlineLevel="0" collapsed="false">
      <c r="A31" s="7" t="s">
        <v>16</v>
      </c>
      <c r="B31" s="7" t="s">
        <v>17</v>
      </c>
      <c r="C31" s="7" t="s">
        <v>9</v>
      </c>
      <c r="D31" s="7" t="s">
        <v>18</v>
      </c>
      <c r="E31" s="7" t="s">
        <v>19</v>
      </c>
      <c r="F31" s="7" t="s">
        <v>20</v>
      </c>
    </row>
    <row r="32" customFormat="false" ht="15" hidden="false" customHeight="false" outlineLevel="0" collapsed="false">
      <c r="A32" s="11" t="str">
        <f aca="false">IFERROR(IF(INDEX('Checkout Log'!$A:$A,SMALL($G$32:$G$232,ROW()-ROW($G$32)+1))="","",INDEX('Checkout Log'!$A:$A,SMALL($G$32:$G$232,ROW()-ROW($G$32)+1))),"")</f>
        <v>STM32F756 Nucleo-144 Microcontroller</v>
      </c>
      <c r="B32" s="11" t="str">
        <f aca="false">IFERROR(IF(INDEX('Checkout Log'!$C:$C,SMALL($G$32:$G$232,ROW()-ROW($G$32)+1))="","",INDEX('Checkout Log'!$C:$C,SMALL($G$32:$G$232,ROW()-ROW($G$32)+1))),"")</f>
        <v>STM 32 Microcontrollers</v>
      </c>
      <c r="C32" s="11" t="str">
        <f aca="false">IFERROR(IF(INDEX('Checkout Log'!$D:$D,SMALL($G$32:$G$232,ROW()-ROW($G$32)+1))="","",INDEX('Checkout Log'!$D:$D,SMALL($G$32:$G$232,ROW()-ROW($G$32)+1))),"")</f>
        <v>C2</v>
      </c>
      <c r="D32" s="11" t="s">
        <v>21</v>
      </c>
      <c r="E32" s="12" t="str">
        <f aca="false">IFERROR(IF(INDEX('Checkout Log'!$H:$H,SMALL($G$32:$G$232,ROW()-ROW($G$32)+1))=0,"",INDEX('Checkout Log'!$H:$H,SMALL($G$32:$G$232,ROW()-ROW($G$32)+1))),"")</f>
        <v/>
      </c>
      <c r="F32" s="12" t="str">
        <f aca="false">IFERROR(IF(INDEX('Checkout Log'!$I:$I,SMALL($G$32:$G$232,ROW()-ROW($G$32)+1))=0,"",INDEX('Checkout Log'!$I:$I,SMALL($G$32:$G$232,ROW()-ROW($G$32)+1))),"")</f>
        <v/>
      </c>
      <c r="G32" s="1" t="n">
        <f aca="false">IF('Checkout Log'!$A3="","",IF('Checkout Log'!$L3="Returned","",ROW('Checkout Log'!$A3)))</f>
        <v>3</v>
      </c>
    </row>
    <row r="33" customFormat="false" ht="15" hidden="false" customHeight="false" outlineLevel="0" collapsed="false">
      <c r="A33" s="13" t="str">
        <f aca="false">IFERROR(IF(INDEX('Checkout Log'!$A:$A,SMALL($G$32:$G$232,ROW()-ROW($G$32)+1))="","",INDEX('Checkout Log'!$A:$A,SMALL($G$32:$G$232,ROW()-ROW($G$32)+1))),"")</f>
        <v>STM32MP157C-DK2 Microcontroller</v>
      </c>
      <c r="B33" s="13" t="str">
        <f aca="false">IFERROR(IF(INDEX('Checkout Log'!$C:$C,SMALL($G$32:$G$232,ROW()-ROW($G$32)+1))="","",INDEX('Checkout Log'!$C:$C,SMALL($G$32:$G$232,ROW()-ROW($G$32)+1))),"")</f>
        <v>STM 32 Microcontrollers</v>
      </c>
      <c r="C33" s="13" t="str">
        <f aca="false">IFERROR(IF(INDEX('Checkout Log'!$D:$D,SMALL($G$32:$G$232,ROW()-ROW($G$32)+1))="","",INDEX('Checkout Log'!$D:$D,SMALL($G$32:$G$232,ROW()-ROW($G$32)+1))),"")</f>
        <v>C2</v>
      </c>
      <c r="D33" s="13" t="s">
        <v>22</v>
      </c>
      <c r="E33" s="14" t="str">
        <f aca="false">IFERROR(IF(INDEX('Checkout Log'!$H:$H,SMALL($G$32:$G$232,ROW()-ROW($G$32)+1))=0,"",INDEX('Checkout Log'!$H:$H,SMALL($G$32:$G$232,ROW()-ROW($G$32)+1))),"")</f>
        <v/>
      </c>
      <c r="F33" s="14" t="str">
        <f aca="false">IFERROR(IF(INDEX('Checkout Log'!$I:$I,SMALL($G$32:$G$232,ROW()-ROW($G$32)+1))=0,"",INDEX('Checkout Log'!$I:$I,SMALL($G$32:$G$232,ROW()-ROW($G$32)+1))),"")</f>
        <v/>
      </c>
      <c r="G33" s="1" t="n">
        <f aca="false">IF('Checkout Log'!$A4="","",IF('Checkout Log'!$L4="Returned","",ROW('Checkout Log'!$A4)))</f>
        <v>4</v>
      </c>
    </row>
    <row r="34" customFormat="false" ht="15" hidden="false" customHeight="false" outlineLevel="0" collapsed="false">
      <c r="A34" s="11" t="str">
        <f aca="false">IFERROR(IF(INDEX('Checkout Log'!$A:$A,SMALL($G$32:$G$232,ROW()-ROW($G$32)+1))="","",INDEX('Checkout Log'!$A:$A,SMALL($G$32:$G$232,ROW()-ROW($G$32)+1))),"")</f>
        <v>BitCraze CrazyFlie drone kit</v>
      </c>
      <c r="B34" s="11" t="str">
        <f aca="false">IFERROR(IF(INDEX('Checkout Log'!$C:$C,SMALL($G$32:$G$232,ROW()-ROW($G$32)+1))="","",INDEX('Checkout Log'!$C:$C,SMALL($G$32:$G$232,ROW()-ROW($G$32)+1))),"")</f>
        <v>BitCraze CrazyFlie drone kit</v>
      </c>
      <c r="C34" s="11" t="str">
        <f aca="false">IFERROR(IF(INDEX('Checkout Log'!$D:$D,SMALL($G$32:$G$232,ROW()-ROW($G$32)+1))="","",INDEX('Checkout Log'!$D:$D,SMALL($G$32:$G$232,ROW()-ROW($G$32)+1))),"")</f>
        <v>SL2</v>
      </c>
      <c r="D34" s="11" t="s">
        <v>23</v>
      </c>
      <c r="E34" s="12" t="str">
        <f aca="false">IFERROR(IF(INDEX('Checkout Log'!$H:$H,SMALL($G$32:$G$232,ROW()-ROW($G$32)+1))=0,"",INDEX('Checkout Log'!$H:$H,SMALL($G$32:$G$232,ROW()-ROW($G$32)+1))),"")</f>
        <v/>
      </c>
      <c r="F34" s="12" t="str">
        <f aca="false">IFERROR(IF(INDEX('Checkout Log'!$I:$I,SMALL($G$32:$G$232,ROW()-ROW($G$32)+1))=0,"",INDEX('Checkout Log'!$I:$I,SMALL($G$32:$G$232,ROW()-ROW($G$32)+1))),"")</f>
        <v/>
      </c>
      <c r="G34" s="1" t="n">
        <f aca="false">IF('Checkout Log'!$A5="","",IF('Checkout Log'!$L5="Returned","",ROW('Checkout Log'!$A5)))</f>
        <v>5</v>
      </c>
    </row>
    <row r="35" customFormat="false" ht="15" hidden="false" customHeight="false" outlineLevel="0" collapsed="false">
      <c r="A35" s="13" t="str">
        <f aca="false">IFERROR(IF(INDEX('Checkout Log'!$A:$A,SMALL($G$32:$G$232,ROW()-ROW($G$32)+1))="","",INDEX('Checkout Log'!$A:$A,SMALL($G$32:$G$232,ROW()-ROW($G$32)+1))),"")</f>
        <v>Servo Motor S35+XF</v>
      </c>
      <c r="B35" s="13" t="str">
        <f aca="false">IFERROR(IF(INDEX('Checkout Log'!$C:$C,SMALL($G$32:$G$232,ROW()-ROW($G$32)+1))="","",INDEX('Checkout Log'!$C:$C,SMALL($G$32:$G$232,ROW()-ROW($G$32)+1))),"")</f>
        <v>Servo Motors</v>
      </c>
      <c r="C35" s="13" t="str">
        <f aca="false">IFERROR(IF(INDEX('Checkout Log'!$D:$D,SMALL($G$32:$G$232,ROW()-ROW($G$32)+1))="","",INDEX('Checkout Log'!$D:$D,SMALL($G$32:$G$232,ROW()-ROW($G$32)+1))),"")</f>
        <v>C3</v>
      </c>
      <c r="D35" s="13" t="str">
        <f aca="false">IFERROR(IF(INDEX('Checkout Log'!$E:$E,SMALL($G$32:$G$232,ROW()-ROW($G$32)+1))="","",INDEX('Checkout Log'!$E:$E,SMALL($G$32:$G$232,ROW()-ROW($G$32)+1))),"")</f>
        <v>MD Akram</v>
      </c>
      <c r="E35" s="14" t="str">
        <f aca="false">IFERROR(IF(INDEX('Checkout Log'!$H:$H,SMALL($G$32:$G$232,ROW()-ROW($G$32)+1))=0,"",INDEX('Checkout Log'!$H:$H,SMALL($G$32:$G$232,ROW()-ROW($G$32)+1))),"")</f>
        <v/>
      </c>
      <c r="F35" s="14" t="str">
        <f aca="false">IFERROR(IF(INDEX('Checkout Log'!$I:$I,SMALL($G$32:$G$232,ROW()-ROW($G$32)+1))=0,"",INDEX('Checkout Log'!$I:$I,SMALL($G$32:$G$232,ROW()-ROW($G$32)+1))),"")</f>
        <v/>
      </c>
      <c r="G35" s="1" t="n">
        <f aca="false">IF('Checkout Log'!$A6="","",IF('Checkout Log'!$L6="Returned","",ROW('Checkout Log'!$A6)))</f>
        <v>6</v>
      </c>
    </row>
    <row r="36" customFormat="false" ht="15" hidden="false" customHeight="false" outlineLevel="0" collapsed="false">
      <c r="A36" s="11" t="str">
        <f aca="false">IFERROR(IF(INDEX('Checkout Log'!$A:$A,SMALL($G$32:$G$232,ROW()-ROW($G$32)+1))="","",INDEX('Checkout Log'!$A:$A,SMALL($G$32:$G$232,ROW()-ROW($G$32)+1))),"")</f>
        <v/>
      </c>
      <c r="B36" s="11" t="str">
        <f aca="false">IFERROR(IF(INDEX('Checkout Log'!$C:$C,SMALL($G$32:$G$232,ROW()-ROW($G$32)+1))="","",INDEX('Checkout Log'!$C:$C,SMALL($G$32:$G$232,ROW()-ROW($G$32)+1))),"")</f>
        <v/>
      </c>
      <c r="C36" s="11" t="str">
        <f aca="false">IFERROR(IF(INDEX('Checkout Log'!$D:$D,SMALL($G$32:$G$232,ROW()-ROW($G$32)+1))="","",INDEX('Checkout Log'!$D:$D,SMALL($G$32:$G$232,ROW()-ROW($G$32)+1))),"")</f>
        <v/>
      </c>
      <c r="D36" s="11" t="str">
        <f aca="false">IFERROR(IF(INDEX('Checkout Log'!$E:$E,SMALL($G$32:$G$232,ROW()-ROW($G$32)+1))="","",INDEX('Checkout Log'!$E:$E,SMALL($G$32:$G$232,ROW()-ROW($G$32)+1))),"")</f>
        <v/>
      </c>
      <c r="E36" s="12" t="str">
        <f aca="false">IFERROR(IF(INDEX('Checkout Log'!$H:$H,SMALL($G$32:$G$232,ROW()-ROW($G$32)+1))=0,"",INDEX('Checkout Log'!$H:$H,SMALL($G$32:$G$232,ROW()-ROW($G$32)+1))),"")</f>
        <v/>
      </c>
      <c r="F36" s="12" t="str">
        <f aca="false">IFERROR(IF(INDEX('Checkout Log'!$I:$I,SMALL($G$32:$G$232,ROW()-ROW($G$32)+1))=0,"",INDEX('Checkout Log'!$I:$I,SMALL($G$32:$G$232,ROW()-ROW($G$32)+1))),"")</f>
        <v/>
      </c>
      <c r="G36" s="1" t="str">
        <f aca="false">IF('Checkout Log'!$A7="","",IF('Checkout Log'!$L7="Returned","",ROW('Checkout Log'!$A7)))</f>
        <v/>
      </c>
    </row>
    <row r="37" customFormat="false" ht="15" hidden="false" customHeight="false" outlineLevel="0" collapsed="false">
      <c r="A37" s="13" t="str">
        <f aca="false">IFERROR(IF(INDEX('Checkout Log'!$A:$A,SMALL($G$32:$G$232,ROW()-ROW($G$32)+1))="","",INDEX('Checkout Log'!$A:$A,SMALL($G$32:$G$232,ROW()-ROW($G$32)+1))),"")</f>
        <v/>
      </c>
      <c r="B37" s="13" t="str">
        <f aca="false">IFERROR(IF(INDEX('Checkout Log'!$C:$C,SMALL($G$32:$G$232,ROW()-ROW($G$32)+1))="","",INDEX('Checkout Log'!$C:$C,SMALL($G$32:$G$232,ROW()-ROW($G$32)+1))),"")</f>
        <v/>
      </c>
      <c r="C37" s="13" t="str">
        <f aca="false">IFERROR(IF(INDEX('Checkout Log'!$D:$D,SMALL($G$32:$G$232,ROW()-ROW($G$32)+1))="","",INDEX('Checkout Log'!$D:$D,SMALL($G$32:$G$232,ROW()-ROW($G$32)+1))),"")</f>
        <v/>
      </c>
      <c r="D37" s="13" t="str">
        <f aca="false">IFERROR(IF(INDEX('Checkout Log'!$E:$E,SMALL($G$32:$G$232,ROW()-ROW($G$32)+1))="","",INDEX('Checkout Log'!$E:$E,SMALL($G$32:$G$232,ROW()-ROW($G$32)+1))),"")</f>
        <v/>
      </c>
      <c r="E37" s="14" t="str">
        <f aca="false">IFERROR(IF(INDEX('Checkout Log'!$H:$H,SMALL($G$32:$G$232,ROW()-ROW($G$32)+1))=0,"",INDEX('Checkout Log'!$H:$H,SMALL($G$32:$G$232,ROW()-ROW($G$32)+1))),"")</f>
        <v/>
      </c>
      <c r="F37" s="14" t="str">
        <f aca="false">IFERROR(IF(INDEX('Checkout Log'!$I:$I,SMALL($G$32:$G$232,ROW()-ROW($G$32)+1))=0,"",INDEX('Checkout Log'!$I:$I,SMALL($G$32:$G$232,ROW()-ROW($G$32)+1))),"")</f>
        <v/>
      </c>
      <c r="G37" s="1" t="str">
        <f aca="false">IF('Checkout Log'!$A8="","",IF('Checkout Log'!$L8="Returned","",ROW('Checkout Log'!$A8)))</f>
        <v/>
      </c>
    </row>
    <row r="38" customFormat="false" ht="15" hidden="false" customHeight="false" outlineLevel="0" collapsed="false">
      <c r="A38" s="11" t="str">
        <f aca="false">IFERROR(IF(INDEX('Checkout Log'!$A:$A,SMALL($G$32:$G$232,ROW()-ROW($G$32)+1))="","",INDEX('Checkout Log'!$A:$A,SMALL($G$32:$G$232,ROW()-ROW($G$32)+1))),"")</f>
        <v/>
      </c>
      <c r="B38" s="11" t="str">
        <f aca="false">IFERROR(IF(INDEX('Checkout Log'!$C:$C,SMALL($G$32:$G$232,ROW()-ROW($G$32)+1))="","",INDEX('Checkout Log'!$C:$C,SMALL($G$32:$G$232,ROW()-ROW($G$32)+1))),"")</f>
        <v/>
      </c>
      <c r="C38" s="11" t="str">
        <f aca="false">IFERROR(IF(INDEX('Checkout Log'!$D:$D,SMALL($G$32:$G$232,ROW()-ROW($G$32)+1))="","",INDEX('Checkout Log'!$D:$D,SMALL($G$32:$G$232,ROW()-ROW($G$32)+1))),"")</f>
        <v/>
      </c>
      <c r="D38" s="11" t="str">
        <f aca="false">IFERROR(IF(INDEX('Checkout Log'!$E:$E,SMALL($G$32:$G$232,ROW()-ROW($G$32)+1))="","",INDEX('Checkout Log'!$E:$E,SMALL($G$32:$G$232,ROW()-ROW($G$32)+1))),"")</f>
        <v/>
      </c>
      <c r="E38" s="12" t="str">
        <f aca="false">IFERROR(IF(INDEX('Checkout Log'!$H:$H,SMALL($G$32:$G$232,ROW()-ROW($G$32)+1))=0,"",INDEX('Checkout Log'!$H:$H,SMALL($G$32:$G$232,ROW()-ROW($G$32)+1))),"")</f>
        <v/>
      </c>
      <c r="F38" s="12" t="str">
        <f aca="false">IFERROR(IF(INDEX('Checkout Log'!$I:$I,SMALL($G$32:$G$232,ROW()-ROW($G$32)+1))=0,"",INDEX('Checkout Log'!$I:$I,SMALL($G$32:$G$232,ROW()-ROW($G$32)+1))),"")</f>
        <v/>
      </c>
      <c r="G38" s="1" t="str">
        <f aca="false">IF('Checkout Log'!$A9="","",IF('Checkout Log'!$L9="Returned","",ROW('Checkout Log'!$A9)))</f>
        <v/>
      </c>
    </row>
    <row r="39" customFormat="false" ht="15" hidden="false" customHeight="false" outlineLevel="0" collapsed="false">
      <c r="A39" s="13" t="str">
        <f aca="false">IFERROR(IF(INDEX('Checkout Log'!$A:$A,SMALL($G$32:$G$232,ROW()-ROW($G$32)+1))="","",INDEX('Checkout Log'!$A:$A,SMALL($G$32:$G$232,ROW()-ROW($G$32)+1))),"")</f>
        <v/>
      </c>
      <c r="B39" s="13" t="str">
        <f aca="false">IFERROR(IF(INDEX('Checkout Log'!$C:$C,SMALL($G$32:$G$232,ROW()-ROW($G$32)+1))="","",INDEX('Checkout Log'!$C:$C,SMALL($G$32:$G$232,ROW()-ROW($G$32)+1))),"")</f>
        <v/>
      </c>
      <c r="C39" s="13" t="str">
        <f aca="false">IFERROR(IF(INDEX('Checkout Log'!$D:$D,SMALL($G$32:$G$232,ROW()-ROW($G$32)+1))="","",INDEX('Checkout Log'!$D:$D,SMALL($G$32:$G$232,ROW()-ROW($G$32)+1))),"")</f>
        <v/>
      </c>
      <c r="D39" s="13" t="str">
        <f aca="false">IFERROR(IF(INDEX('Checkout Log'!$E:$E,SMALL($G$32:$G$232,ROW()-ROW($G$32)+1))="","",INDEX('Checkout Log'!$E:$E,SMALL($G$32:$G$232,ROW()-ROW($G$32)+1))),"")</f>
        <v/>
      </c>
      <c r="E39" s="14" t="str">
        <f aca="false">IFERROR(IF(INDEX('Checkout Log'!$H:$H,SMALL($G$32:$G$232,ROW()-ROW($G$32)+1))=0,"",INDEX('Checkout Log'!$H:$H,SMALL($G$32:$G$232,ROW()-ROW($G$32)+1))),"")</f>
        <v/>
      </c>
      <c r="F39" s="14" t="str">
        <f aca="false">IFERROR(IF(INDEX('Checkout Log'!$I:$I,SMALL($G$32:$G$232,ROW()-ROW($G$32)+1))=0,"",INDEX('Checkout Log'!$I:$I,SMALL($G$32:$G$232,ROW()-ROW($G$32)+1))),"")</f>
        <v/>
      </c>
      <c r="G39" s="1" t="str">
        <f aca="false">IF('Checkout Log'!$A10="","",IF('Checkout Log'!$L10="Returned","",ROW('Checkout Log'!$A10)))</f>
        <v/>
      </c>
    </row>
    <row r="40" customFormat="false" ht="15" hidden="false" customHeight="false" outlineLevel="0" collapsed="false">
      <c r="A40" s="11" t="str">
        <f aca="false">IFERROR(IF(INDEX('Checkout Log'!$A:$A,SMALL($G$32:$G$232,ROW()-ROW($G$32)+1))="","",INDEX('Checkout Log'!$A:$A,SMALL($G$32:$G$232,ROW()-ROW($G$32)+1))),"")</f>
        <v/>
      </c>
      <c r="B40" s="11" t="str">
        <f aca="false">IFERROR(IF(INDEX('Checkout Log'!$C:$C,SMALL($G$32:$G$232,ROW()-ROW($G$32)+1))="","",INDEX('Checkout Log'!$C:$C,SMALL($G$32:$G$232,ROW()-ROW($G$32)+1))),"")</f>
        <v/>
      </c>
      <c r="C40" s="11" t="str">
        <f aca="false">IFERROR(IF(INDEX('Checkout Log'!$D:$D,SMALL($G$32:$G$232,ROW()-ROW($G$32)+1))="","",INDEX('Checkout Log'!$D:$D,SMALL($G$32:$G$232,ROW()-ROW($G$32)+1))),"")</f>
        <v/>
      </c>
      <c r="D40" s="11" t="str">
        <f aca="false">IFERROR(IF(INDEX('Checkout Log'!$E:$E,SMALL($G$32:$G$232,ROW()-ROW($G$32)+1))="","",INDEX('Checkout Log'!$E:$E,SMALL($G$32:$G$232,ROW()-ROW($G$32)+1))),"")</f>
        <v/>
      </c>
      <c r="E40" s="12" t="str">
        <f aca="false">IFERROR(IF(INDEX('Checkout Log'!$H:$H,SMALL($G$32:$G$232,ROW()-ROW($G$32)+1))=0,"",INDEX('Checkout Log'!$H:$H,SMALL($G$32:$G$232,ROW()-ROW($G$32)+1))),"")</f>
        <v/>
      </c>
      <c r="F40" s="12" t="str">
        <f aca="false">IFERROR(IF(INDEX('Checkout Log'!$I:$I,SMALL($G$32:$G$232,ROW()-ROW($G$32)+1))=0,"",INDEX('Checkout Log'!$I:$I,SMALL($G$32:$G$232,ROW()-ROW($G$32)+1))),"")</f>
        <v/>
      </c>
      <c r="G40" s="1" t="str">
        <f aca="false">IF('Checkout Log'!$A11="","",IF('Checkout Log'!$L11="Returned","",ROW('Checkout Log'!$A11)))</f>
        <v/>
      </c>
    </row>
    <row r="41" customFormat="false" ht="15" hidden="false" customHeight="false" outlineLevel="0" collapsed="false">
      <c r="A41" s="13" t="str">
        <f aca="false">IFERROR(IF(INDEX('Checkout Log'!$A:$A,SMALL($G$32:$G$232,ROW()-ROW($G$32)+1))="","",INDEX('Checkout Log'!$A:$A,SMALL($G$32:$G$232,ROW()-ROW($G$32)+1))),"")</f>
        <v/>
      </c>
      <c r="B41" s="13" t="str">
        <f aca="false">IFERROR(IF(INDEX('Checkout Log'!$C:$C,SMALL($G$32:$G$232,ROW()-ROW($G$32)+1))="","",INDEX('Checkout Log'!$C:$C,SMALL($G$32:$G$232,ROW()-ROW($G$32)+1))),"")</f>
        <v/>
      </c>
      <c r="C41" s="13" t="str">
        <f aca="false">IFERROR(IF(INDEX('Checkout Log'!$D:$D,SMALL($G$32:$G$232,ROW()-ROW($G$32)+1))="","",INDEX('Checkout Log'!$D:$D,SMALL($G$32:$G$232,ROW()-ROW($G$32)+1))),"")</f>
        <v/>
      </c>
      <c r="D41" s="13" t="str">
        <f aca="false">IFERROR(IF(INDEX('Checkout Log'!$E:$E,SMALL($G$32:$G$232,ROW()-ROW($G$32)+1))="","",INDEX('Checkout Log'!$E:$E,SMALL($G$32:$G$232,ROW()-ROW($G$32)+1))),"")</f>
        <v/>
      </c>
      <c r="E41" s="14" t="str">
        <f aca="false">IFERROR(IF(INDEX('Checkout Log'!$H:$H,SMALL($G$32:$G$232,ROW()-ROW($G$32)+1))=0,"",INDEX('Checkout Log'!$H:$H,SMALL($G$32:$G$232,ROW()-ROW($G$32)+1))),"")</f>
        <v/>
      </c>
      <c r="F41" s="14" t="str">
        <f aca="false">IFERROR(IF(INDEX('Checkout Log'!$I:$I,SMALL($G$32:$G$232,ROW()-ROW($G$32)+1))=0,"",INDEX('Checkout Log'!$I:$I,SMALL($G$32:$G$232,ROW()-ROW($G$32)+1))),"")</f>
        <v/>
      </c>
      <c r="G41" s="1" t="str">
        <f aca="false">IF('Checkout Log'!$A12="","",IF('Checkout Log'!$L12="Returned","",ROW('Checkout Log'!$A12)))</f>
        <v/>
      </c>
    </row>
    <row r="42" customFormat="false" ht="15" hidden="false" customHeight="false" outlineLevel="0" collapsed="false">
      <c r="A42" s="11" t="str">
        <f aca="false">IFERROR(IF(INDEX('Checkout Log'!$A:$A,SMALL($G$32:$G$232,ROW()-ROW($G$32)+1))="","",INDEX('Checkout Log'!$A:$A,SMALL($G$32:$G$232,ROW()-ROW($G$32)+1))),"")</f>
        <v/>
      </c>
      <c r="B42" s="11" t="str">
        <f aca="false">IFERROR(IF(INDEX('Checkout Log'!$C:$C,SMALL($G$32:$G$232,ROW()-ROW($G$32)+1))="","",INDEX('Checkout Log'!$C:$C,SMALL($G$32:$G$232,ROW()-ROW($G$32)+1))),"")</f>
        <v/>
      </c>
      <c r="C42" s="11" t="str">
        <f aca="false">IFERROR(IF(INDEX('Checkout Log'!$D:$D,SMALL($G$32:$G$232,ROW()-ROW($G$32)+1))="","",INDEX('Checkout Log'!$D:$D,SMALL($G$32:$G$232,ROW()-ROW($G$32)+1))),"")</f>
        <v/>
      </c>
      <c r="D42" s="11" t="str">
        <f aca="false">IFERROR(IF(INDEX('Checkout Log'!$E:$E,SMALL($G$32:$G$232,ROW()-ROW($G$32)+1))="","",INDEX('Checkout Log'!$E:$E,SMALL($G$32:$G$232,ROW()-ROW($G$32)+1))),"")</f>
        <v/>
      </c>
      <c r="E42" s="12" t="str">
        <f aca="false">IFERROR(IF(INDEX('Checkout Log'!$H:$H,SMALL($G$32:$G$232,ROW()-ROW($G$32)+1))=0,"",INDEX('Checkout Log'!$H:$H,SMALL($G$32:$G$232,ROW()-ROW($G$32)+1))),"")</f>
        <v/>
      </c>
      <c r="F42" s="12" t="str">
        <f aca="false">IFERROR(IF(INDEX('Checkout Log'!$I:$I,SMALL($G$32:$G$232,ROW()-ROW($G$32)+1))=0,"",INDEX('Checkout Log'!$I:$I,SMALL($G$32:$G$232,ROW()-ROW($G$32)+1))),"")</f>
        <v/>
      </c>
      <c r="G42" s="1" t="str">
        <f aca="false">IF('Checkout Log'!$A13="","",IF('Checkout Log'!$L13="Returned","",ROW('Checkout Log'!$A13)))</f>
        <v/>
      </c>
    </row>
    <row r="43" customFormat="false" ht="15" hidden="false" customHeight="false" outlineLevel="0" collapsed="false">
      <c r="A43" s="13" t="str">
        <f aca="false">IFERROR(IF(INDEX('Checkout Log'!$A:$A,SMALL($G$32:$G$232,ROW()-ROW($G$32)+1))="","",INDEX('Checkout Log'!$A:$A,SMALL($G$32:$G$232,ROW()-ROW($G$32)+1))),"")</f>
        <v/>
      </c>
      <c r="B43" s="13" t="str">
        <f aca="false">IFERROR(IF(INDEX('Checkout Log'!$C:$C,SMALL($G$32:$G$232,ROW()-ROW($G$32)+1))="","",INDEX('Checkout Log'!$C:$C,SMALL($G$32:$G$232,ROW()-ROW($G$32)+1))),"")</f>
        <v/>
      </c>
      <c r="C43" s="13" t="str">
        <f aca="false">IFERROR(IF(INDEX('Checkout Log'!$D:$D,SMALL($G$32:$G$232,ROW()-ROW($G$32)+1))="","",INDEX('Checkout Log'!$D:$D,SMALL($G$32:$G$232,ROW()-ROW($G$32)+1))),"")</f>
        <v/>
      </c>
      <c r="D43" s="13" t="str">
        <f aca="false">IFERROR(IF(INDEX('Checkout Log'!$E:$E,SMALL($G$32:$G$232,ROW()-ROW($G$32)+1))="","",INDEX('Checkout Log'!$E:$E,SMALL($G$32:$G$232,ROW()-ROW($G$32)+1))),"")</f>
        <v/>
      </c>
      <c r="E43" s="14" t="str">
        <f aca="false">IFERROR(IF(INDEX('Checkout Log'!$H:$H,SMALL($G$32:$G$232,ROW()-ROW($G$32)+1))=0,"",INDEX('Checkout Log'!$H:$H,SMALL($G$32:$G$232,ROW()-ROW($G$32)+1))),"")</f>
        <v/>
      </c>
      <c r="F43" s="14" t="str">
        <f aca="false">IFERROR(IF(INDEX('Checkout Log'!$I:$I,SMALL($G$32:$G$232,ROW()-ROW($G$32)+1))=0,"",INDEX('Checkout Log'!$I:$I,SMALL($G$32:$G$232,ROW()-ROW($G$32)+1))),"")</f>
        <v/>
      </c>
      <c r="G43" s="1" t="str">
        <f aca="false">IF('Checkout Log'!$A14="","",IF('Checkout Log'!$L14="Returned","",ROW('Checkout Log'!$A14)))</f>
        <v/>
      </c>
    </row>
    <row r="44" customFormat="false" ht="15" hidden="false" customHeight="false" outlineLevel="0" collapsed="false">
      <c r="A44" s="11" t="str">
        <f aca="false">IFERROR(IF(INDEX('Checkout Log'!$A:$A,SMALL($G$32:$G$232,ROW()-ROW($G$32)+1))="","",INDEX('Checkout Log'!$A:$A,SMALL($G$32:$G$232,ROW()-ROW($G$32)+1))),"")</f>
        <v/>
      </c>
      <c r="B44" s="11" t="str">
        <f aca="false">IFERROR(IF(INDEX('Checkout Log'!$C:$C,SMALL($G$32:$G$232,ROW()-ROW($G$32)+1))="","",INDEX('Checkout Log'!$C:$C,SMALL($G$32:$G$232,ROW()-ROW($G$32)+1))),"")</f>
        <v/>
      </c>
      <c r="C44" s="11" t="str">
        <f aca="false">IFERROR(IF(INDEX('Checkout Log'!$D:$D,SMALL($G$32:$G$232,ROW()-ROW($G$32)+1))="","",INDEX('Checkout Log'!$D:$D,SMALL($G$32:$G$232,ROW()-ROW($G$32)+1))),"")</f>
        <v/>
      </c>
      <c r="D44" s="11" t="str">
        <f aca="false">IFERROR(IF(INDEX('Checkout Log'!$E:$E,SMALL($G$32:$G$232,ROW()-ROW($G$32)+1))="","",INDEX('Checkout Log'!$E:$E,SMALL($G$32:$G$232,ROW()-ROW($G$32)+1))),"")</f>
        <v/>
      </c>
      <c r="E44" s="12" t="str">
        <f aca="false">IFERROR(IF(INDEX('Checkout Log'!$H:$H,SMALL($G$32:$G$232,ROW()-ROW($G$32)+1))=0,"",INDEX('Checkout Log'!$H:$H,SMALL($G$32:$G$232,ROW()-ROW($G$32)+1))),"")</f>
        <v/>
      </c>
      <c r="F44" s="12" t="str">
        <f aca="false">IFERROR(IF(INDEX('Checkout Log'!$I:$I,SMALL($G$32:$G$232,ROW()-ROW($G$32)+1))=0,"",INDEX('Checkout Log'!$I:$I,SMALL($G$32:$G$232,ROW()-ROW($G$32)+1))),"")</f>
        <v/>
      </c>
      <c r="G44" s="1" t="str">
        <f aca="false">IF('Checkout Log'!$A15="","",IF('Checkout Log'!$L15="Returned","",ROW('Checkout Log'!$A15)))</f>
        <v/>
      </c>
    </row>
    <row r="45" customFormat="false" ht="15" hidden="false" customHeight="false" outlineLevel="0" collapsed="false">
      <c r="A45" s="13" t="str">
        <f aca="false">IFERROR(IF(INDEX('Checkout Log'!$A:$A,SMALL($G$32:$G$232,ROW()-ROW($G$32)+1))="","",INDEX('Checkout Log'!$A:$A,SMALL($G$32:$G$232,ROW()-ROW($G$32)+1))),"")</f>
        <v/>
      </c>
      <c r="B45" s="13" t="str">
        <f aca="false">IFERROR(IF(INDEX('Checkout Log'!$C:$C,SMALL($G$32:$G$232,ROW()-ROW($G$32)+1))="","",INDEX('Checkout Log'!$C:$C,SMALL($G$32:$G$232,ROW()-ROW($G$32)+1))),"")</f>
        <v/>
      </c>
      <c r="C45" s="13" t="str">
        <f aca="false">IFERROR(IF(INDEX('Checkout Log'!$D:$D,SMALL($G$32:$G$232,ROW()-ROW($G$32)+1))="","",INDEX('Checkout Log'!$D:$D,SMALL($G$32:$G$232,ROW()-ROW($G$32)+1))),"")</f>
        <v/>
      </c>
      <c r="D45" s="13" t="str">
        <f aca="false">IFERROR(IF(INDEX('Checkout Log'!$E:$E,SMALL($G$32:$G$232,ROW()-ROW($G$32)+1))="","",INDEX('Checkout Log'!$E:$E,SMALL($G$32:$G$232,ROW()-ROW($G$32)+1))),"")</f>
        <v/>
      </c>
      <c r="E45" s="14" t="str">
        <f aca="false">IFERROR(IF(INDEX('Checkout Log'!$H:$H,SMALL($G$32:$G$232,ROW()-ROW($G$32)+1))=0,"",INDEX('Checkout Log'!$H:$H,SMALL($G$32:$G$232,ROW()-ROW($G$32)+1))),"")</f>
        <v/>
      </c>
      <c r="F45" s="14" t="str">
        <f aca="false">IFERROR(IF(INDEX('Checkout Log'!$I:$I,SMALL($G$32:$G$232,ROW()-ROW($G$32)+1))=0,"",INDEX('Checkout Log'!$I:$I,SMALL($G$32:$G$232,ROW()-ROW($G$32)+1))),"")</f>
        <v/>
      </c>
      <c r="G45" s="1" t="str">
        <f aca="false">IF('Checkout Log'!$A16="","",IF('Checkout Log'!$L16="Returned","",ROW('Checkout Log'!$A16)))</f>
        <v/>
      </c>
    </row>
    <row r="46" customFormat="false" ht="15" hidden="false" customHeight="false" outlineLevel="0" collapsed="false">
      <c r="A46" s="11" t="str">
        <f aca="false">IFERROR(IF(INDEX('Checkout Log'!$A:$A,SMALL($G$32:$G$232,ROW()-ROW($G$32)+1))="","",INDEX('Checkout Log'!$A:$A,SMALL($G$32:$G$232,ROW()-ROW($G$32)+1))),"")</f>
        <v/>
      </c>
      <c r="B46" s="11" t="str">
        <f aca="false">IFERROR(IF(INDEX('Checkout Log'!$C:$C,SMALL($G$32:$G$232,ROW()-ROW($G$32)+1))="","",INDEX('Checkout Log'!$C:$C,SMALL($G$32:$G$232,ROW()-ROW($G$32)+1))),"")</f>
        <v/>
      </c>
      <c r="C46" s="11" t="str">
        <f aca="false">IFERROR(IF(INDEX('Checkout Log'!$D:$D,SMALL($G$32:$G$232,ROW()-ROW($G$32)+1))="","",INDEX('Checkout Log'!$D:$D,SMALL($G$32:$G$232,ROW()-ROW($G$32)+1))),"")</f>
        <v/>
      </c>
      <c r="D46" s="11" t="str">
        <f aca="false">IFERROR(IF(INDEX('Checkout Log'!$E:$E,SMALL($G$32:$G$232,ROW()-ROW($G$32)+1))="","",INDEX('Checkout Log'!$E:$E,SMALL($G$32:$G$232,ROW()-ROW($G$32)+1))),"")</f>
        <v/>
      </c>
      <c r="E46" s="12" t="str">
        <f aca="false">IFERROR(IF(INDEX('Checkout Log'!$H:$H,SMALL($G$32:$G$232,ROW()-ROW($G$32)+1))=0,"",INDEX('Checkout Log'!$H:$H,SMALL($G$32:$G$232,ROW()-ROW($G$32)+1))),"")</f>
        <v/>
      </c>
      <c r="F46" s="12" t="str">
        <f aca="false">IFERROR(IF(INDEX('Checkout Log'!$I:$I,SMALL($G$32:$G$232,ROW()-ROW($G$32)+1))=0,"",INDEX('Checkout Log'!$I:$I,SMALL($G$32:$G$232,ROW()-ROW($G$32)+1))),"")</f>
        <v/>
      </c>
      <c r="G46" s="1" t="str">
        <f aca="false">IF('Checkout Log'!$A17="","",IF('Checkout Log'!$L17="Returned","",ROW('Checkout Log'!$A17)))</f>
        <v/>
      </c>
    </row>
    <row r="47" customFormat="false" ht="15" hidden="false" customHeight="false" outlineLevel="0" collapsed="false">
      <c r="A47" s="13" t="str">
        <f aca="false">IFERROR(IF(INDEX('Checkout Log'!$A:$A,SMALL($G$32:$G$232,ROW()-ROW($G$32)+1))="","",INDEX('Checkout Log'!$A:$A,SMALL($G$32:$G$232,ROW()-ROW($G$32)+1))),"")</f>
        <v/>
      </c>
      <c r="B47" s="13" t="str">
        <f aca="false">IFERROR(IF(INDEX('Checkout Log'!$C:$C,SMALL($G$32:$G$232,ROW()-ROW($G$32)+1))="","",INDEX('Checkout Log'!$C:$C,SMALL($G$32:$G$232,ROW()-ROW($G$32)+1))),"")</f>
        <v/>
      </c>
      <c r="C47" s="13" t="str">
        <f aca="false">IFERROR(IF(INDEX('Checkout Log'!$D:$D,SMALL($G$32:$G$232,ROW()-ROW($G$32)+1))="","",INDEX('Checkout Log'!$D:$D,SMALL($G$32:$G$232,ROW()-ROW($G$32)+1))),"")</f>
        <v/>
      </c>
      <c r="D47" s="13" t="str">
        <f aca="false">IFERROR(IF(INDEX('Checkout Log'!$E:$E,SMALL($G$32:$G$232,ROW()-ROW($G$32)+1))="","",INDEX('Checkout Log'!$E:$E,SMALL($G$32:$G$232,ROW()-ROW($G$32)+1))),"")</f>
        <v/>
      </c>
      <c r="E47" s="14" t="str">
        <f aca="false">IFERROR(IF(INDEX('Checkout Log'!$H:$H,SMALL($G$32:$G$232,ROW()-ROW($G$32)+1))=0,"",INDEX('Checkout Log'!$H:$H,SMALL($G$32:$G$232,ROW()-ROW($G$32)+1))),"")</f>
        <v/>
      </c>
      <c r="F47" s="14" t="str">
        <f aca="false">IFERROR(IF(INDEX('Checkout Log'!$I:$I,SMALL($G$32:$G$232,ROW()-ROW($G$32)+1))=0,"",INDEX('Checkout Log'!$I:$I,SMALL($G$32:$G$232,ROW()-ROW($G$32)+1))),"")</f>
        <v/>
      </c>
      <c r="G47" s="1" t="str">
        <f aca="false">IF('Checkout Log'!$A18="","",IF('Checkout Log'!$L18="Returned","",ROW('Checkout Log'!$A18)))</f>
        <v/>
      </c>
    </row>
    <row r="48" customFormat="false" ht="15" hidden="false" customHeight="false" outlineLevel="0" collapsed="false">
      <c r="A48" s="11" t="str">
        <f aca="false">IFERROR(IF(INDEX('Checkout Log'!$A:$A,SMALL($G$32:$G$232,ROW()-ROW($G$32)+1))="","",INDEX('Checkout Log'!$A:$A,SMALL($G$32:$G$232,ROW()-ROW($G$32)+1))),"")</f>
        <v/>
      </c>
      <c r="B48" s="11" t="str">
        <f aca="false">IFERROR(IF(INDEX('Checkout Log'!$C:$C,SMALL($G$32:$G$232,ROW()-ROW($G$32)+1))="","",INDEX('Checkout Log'!$C:$C,SMALL($G$32:$G$232,ROW()-ROW($G$32)+1))),"")</f>
        <v/>
      </c>
      <c r="C48" s="11" t="str">
        <f aca="false">IFERROR(IF(INDEX('Checkout Log'!$D:$D,SMALL($G$32:$G$232,ROW()-ROW($G$32)+1))="","",INDEX('Checkout Log'!$D:$D,SMALL($G$32:$G$232,ROW()-ROW($G$32)+1))),"")</f>
        <v/>
      </c>
      <c r="D48" s="11" t="str">
        <f aca="false">IFERROR(IF(INDEX('Checkout Log'!$E:$E,SMALL($G$32:$G$232,ROW()-ROW($G$32)+1))="","",INDEX('Checkout Log'!$E:$E,SMALL($G$32:$G$232,ROW()-ROW($G$32)+1))),"")</f>
        <v/>
      </c>
      <c r="E48" s="12" t="str">
        <f aca="false">IFERROR(IF(INDEX('Checkout Log'!$H:$H,SMALL($G$32:$G$232,ROW()-ROW($G$32)+1))=0,"",INDEX('Checkout Log'!$H:$H,SMALL($G$32:$G$232,ROW()-ROW($G$32)+1))),"")</f>
        <v/>
      </c>
      <c r="F48" s="12" t="str">
        <f aca="false">IFERROR(IF(INDEX('Checkout Log'!$I:$I,SMALL($G$32:$G$232,ROW()-ROW($G$32)+1))=0,"",INDEX('Checkout Log'!$I:$I,SMALL($G$32:$G$232,ROW()-ROW($G$32)+1))),"")</f>
        <v/>
      </c>
      <c r="G48" s="1" t="str">
        <f aca="false">IF('Checkout Log'!$A19="","",IF('Checkout Log'!$L19="Returned","",ROW('Checkout Log'!$A19)))</f>
        <v/>
      </c>
    </row>
    <row r="49" customFormat="false" ht="15" hidden="false" customHeight="false" outlineLevel="0" collapsed="false">
      <c r="A49" s="13" t="str">
        <f aca="false">IFERROR(IF(INDEX('Checkout Log'!$A:$A,SMALL($G$32:$G$232,ROW()-ROW($G$32)+1))="","",INDEX('Checkout Log'!$A:$A,SMALL($G$32:$G$232,ROW()-ROW($G$32)+1))),"")</f>
        <v/>
      </c>
      <c r="B49" s="13" t="str">
        <f aca="false">IFERROR(IF(INDEX('Checkout Log'!$C:$C,SMALL($G$32:$G$232,ROW()-ROW($G$32)+1))="","",INDEX('Checkout Log'!$C:$C,SMALL($G$32:$G$232,ROW()-ROW($G$32)+1))),"")</f>
        <v/>
      </c>
      <c r="C49" s="13" t="str">
        <f aca="false">IFERROR(IF(INDEX('Checkout Log'!$D:$D,SMALL($G$32:$G$232,ROW()-ROW($G$32)+1))="","",INDEX('Checkout Log'!$D:$D,SMALL($G$32:$G$232,ROW()-ROW($G$32)+1))),"")</f>
        <v/>
      </c>
      <c r="D49" s="13" t="str">
        <f aca="false">IFERROR(IF(INDEX('Checkout Log'!$E:$E,SMALL($G$32:$G$232,ROW()-ROW($G$32)+1))="","",INDEX('Checkout Log'!$E:$E,SMALL($G$32:$G$232,ROW()-ROW($G$32)+1))),"")</f>
        <v/>
      </c>
      <c r="E49" s="14" t="str">
        <f aca="false">IFERROR(IF(INDEX('Checkout Log'!$H:$H,SMALL($G$32:$G$232,ROW()-ROW($G$32)+1))=0,"",INDEX('Checkout Log'!$H:$H,SMALL($G$32:$G$232,ROW()-ROW($G$32)+1))),"")</f>
        <v/>
      </c>
      <c r="F49" s="14" t="str">
        <f aca="false">IFERROR(IF(INDEX('Checkout Log'!$I:$I,SMALL($G$32:$G$232,ROW()-ROW($G$32)+1))=0,"",INDEX('Checkout Log'!$I:$I,SMALL($G$32:$G$232,ROW()-ROW($G$32)+1))),"")</f>
        <v/>
      </c>
      <c r="G49" s="1" t="str">
        <f aca="false">IF('Checkout Log'!$A20="","",IF('Checkout Log'!$L20="Returned","",ROW('Checkout Log'!$A20)))</f>
        <v/>
      </c>
    </row>
    <row r="50" customFormat="false" ht="15" hidden="false" customHeight="false" outlineLevel="0" collapsed="false">
      <c r="A50" s="11" t="str">
        <f aca="false">IFERROR(IF(INDEX('Checkout Log'!$A:$A,SMALL($G$32:$G$232,ROW()-ROW($G$32)+1))="","",INDEX('Checkout Log'!$A:$A,SMALL($G$32:$G$232,ROW()-ROW($G$32)+1))),"")</f>
        <v/>
      </c>
      <c r="B50" s="11" t="str">
        <f aca="false">IFERROR(IF(INDEX('Checkout Log'!$C:$C,SMALL($G$32:$G$232,ROW()-ROW($G$32)+1))="","",INDEX('Checkout Log'!$C:$C,SMALL($G$32:$G$232,ROW()-ROW($G$32)+1))),"")</f>
        <v/>
      </c>
      <c r="C50" s="11" t="str">
        <f aca="false">IFERROR(IF(INDEX('Checkout Log'!$D:$D,SMALL($G$32:$G$232,ROW()-ROW($G$32)+1))="","",INDEX('Checkout Log'!$D:$D,SMALL($G$32:$G$232,ROW()-ROW($G$32)+1))),"")</f>
        <v/>
      </c>
      <c r="D50" s="11" t="str">
        <f aca="false">IFERROR(IF(INDEX('Checkout Log'!$E:$E,SMALL($G$32:$G$232,ROW()-ROW($G$32)+1))="","",INDEX('Checkout Log'!$E:$E,SMALL($G$32:$G$232,ROW()-ROW($G$32)+1))),"")</f>
        <v/>
      </c>
      <c r="E50" s="12" t="str">
        <f aca="false">IFERROR(IF(INDEX('Checkout Log'!$H:$H,SMALL($G$32:$G$232,ROW()-ROW($G$32)+1))=0,"",INDEX('Checkout Log'!$H:$H,SMALL($G$32:$G$232,ROW()-ROW($G$32)+1))),"")</f>
        <v/>
      </c>
      <c r="F50" s="12" t="str">
        <f aca="false">IFERROR(IF(INDEX('Checkout Log'!$I:$I,SMALL($G$32:$G$232,ROW()-ROW($G$32)+1))=0,"",INDEX('Checkout Log'!$I:$I,SMALL($G$32:$G$232,ROW()-ROW($G$32)+1))),"")</f>
        <v/>
      </c>
      <c r="G50" s="1" t="str">
        <f aca="false">IF('Checkout Log'!$A21="","",IF('Checkout Log'!$L21="Returned","",ROW('Checkout Log'!$A21)))</f>
        <v/>
      </c>
    </row>
    <row r="51" customFormat="false" ht="15" hidden="false" customHeight="false" outlineLevel="0" collapsed="false">
      <c r="A51" s="13" t="str">
        <f aca="false">IFERROR(IF(INDEX('Checkout Log'!$A:$A,SMALL($G$32:$G$232,ROW()-ROW($G$32)+1))="","",INDEX('Checkout Log'!$A:$A,SMALL($G$32:$G$232,ROW()-ROW($G$32)+1))),"")</f>
        <v/>
      </c>
      <c r="B51" s="13" t="str">
        <f aca="false">IFERROR(IF(INDEX('Checkout Log'!$C:$C,SMALL($G$32:$G$232,ROW()-ROW($G$32)+1))="","",INDEX('Checkout Log'!$C:$C,SMALL($G$32:$G$232,ROW()-ROW($G$32)+1))),"")</f>
        <v/>
      </c>
      <c r="C51" s="13" t="str">
        <f aca="false">IFERROR(IF(INDEX('Checkout Log'!$D:$D,SMALL($G$32:$G$232,ROW()-ROW($G$32)+1))="","",INDEX('Checkout Log'!$D:$D,SMALL($G$32:$G$232,ROW()-ROW($G$32)+1))),"")</f>
        <v/>
      </c>
      <c r="D51" s="13" t="str">
        <f aca="false">IFERROR(IF(INDEX('Checkout Log'!$E:$E,SMALL($G$32:$G$232,ROW()-ROW($G$32)+1))="","",INDEX('Checkout Log'!$E:$E,SMALL($G$32:$G$232,ROW()-ROW($G$32)+1))),"")</f>
        <v/>
      </c>
      <c r="E51" s="14" t="str">
        <f aca="false">IFERROR(IF(INDEX('Checkout Log'!$H:$H,SMALL($G$32:$G$232,ROW()-ROW($G$32)+1))=0,"",INDEX('Checkout Log'!$H:$H,SMALL($G$32:$G$232,ROW()-ROW($G$32)+1))),"")</f>
        <v/>
      </c>
      <c r="F51" s="14" t="str">
        <f aca="false">IFERROR(IF(INDEX('Checkout Log'!$I:$I,SMALL($G$32:$G$232,ROW()-ROW($G$32)+1))=0,"",INDEX('Checkout Log'!$I:$I,SMALL($G$32:$G$232,ROW()-ROW($G$32)+1))),"")</f>
        <v/>
      </c>
      <c r="G51" s="1" t="str">
        <f aca="false">IF('Checkout Log'!$A22="","",IF('Checkout Log'!$L22="Returned","",ROW('Checkout Log'!$A22)))</f>
        <v/>
      </c>
    </row>
    <row r="52" customFormat="false" ht="15" hidden="false" customHeight="false" outlineLevel="0" collapsed="false">
      <c r="A52" s="11" t="str">
        <f aca="false">IFERROR(IF(INDEX('Checkout Log'!$A:$A,SMALL($G$32:$G$232,ROW()-ROW($G$32)+1))="","",INDEX('Checkout Log'!$A:$A,SMALL($G$32:$G$232,ROW()-ROW($G$32)+1))),"")</f>
        <v/>
      </c>
      <c r="B52" s="11" t="str">
        <f aca="false">IFERROR(IF(INDEX('Checkout Log'!$C:$C,SMALL($G$32:$G$232,ROW()-ROW($G$32)+1))="","",INDEX('Checkout Log'!$C:$C,SMALL($G$32:$G$232,ROW()-ROW($G$32)+1))),"")</f>
        <v/>
      </c>
      <c r="C52" s="11" t="str">
        <f aca="false">IFERROR(IF(INDEX('Checkout Log'!$D:$D,SMALL($G$32:$G$232,ROW()-ROW($G$32)+1))="","",INDEX('Checkout Log'!$D:$D,SMALL($G$32:$G$232,ROW()-ROW($G$32)+1))),"")</f>
        <v/>
      </c>
      <c r="D52" s="11" t="str">
        <f aca="false">IFERROR(IF(INDEX('Checkout Log'!$E:$E,SMALL($G$32:$G$232,ROW()-ROW($G$32)+1))="","",INDEX('Checkout Log'!$E:$E,SMALL($G$32:$G$232,ROW()-ROW($G$32)+1))),"")</f>
        <v/>
      </c>
      <c r="E52" s="12" t="str">
        <f aca="false">IFERROR(IF(INDEX('Checkout Log'!$H:$H,SMALL($G$32:$G$232,ROW()-ROW($G$32)+1))=0,"",INDEX('Checkout Log'!$H:$H,SMALL($G$32:$G$232,ROW()-ROW($G$32)+1))),"")</f>
        <v/>
      </c>
      <c r="F52" s="12" t="str">
        <f aca="false">IFERROR(IF(INDEX('Checkout Log'!$I:$I,SMALL($G$32:$G$232,ROW()-ROW($G$32)+1))=0,"",INDEX('Checkout Log'!$I:$I,SMALL($G$32:$G$232,ROW()-ROW($G$32)+1))),"")</f>
        <v/>
      </c>
      <c r="G52" s="1" t="str">
        <f aca="false">IF('Checkout Log'!$A23="","",IF('Checkout Log'!$L23="Returned","",ROW('Checkout Log'!$A23)))</f>
        <v/>
      </c>
    </row>
    <row r="53" customFormat="false" ht="15" hidden="false" customHeight="false" outlineLevel="0" collapsed="false">
      <c r="A53" s="13" t="str">
        <f aca="false">IFERROR(IF(INDEX('Checkout Log'!$A:$A,SMALL($G$32:$G$232,ROW()-ROW($G$32)+1))="","",INDEX('Checkout Log'!$A:$A,SMALL($G$32:$G$232,ROW()-ROW($G$32)+1))),"")</f>
        <v/>
      </c>
      <c r="B53" s="13" t="str">
        <f aca="false">IFERROR(IF(INDEX('Checkout Log'!$C:$C,SMALL($G$32:$G$232,ROW()-ROW($G$32)+1))="","",INDEX('Checkout Log'!$C:$C,SMALL($G$32:$G$232,ROW()-ROW($G$32)+1))),"")</f>
        <v/>
      </c>
      <c r="C53" s="13" t="str">
        <f aca="false">IFERROR(IF(INDEX('Checkout Log'!$D:$D,SMALL($G$32:$G$232,ROW()-ROW($G$32)+1))="","",INDEX('Checkout Log'!$D:$D,SMALL($G$32:$G$232,ROW()-ROW($G$32)+1))),"")</f>
        <v/>
      </c>
      <c r="D53" s="13" t="str">
        <f aca="false">IFERROR(IF(INDEX('Checkout Log'!$E:$E,SMALL($G$32:$G$232,ROW()-ROW($G$32)+1))="","",INDEX('Checkout Log'!$E:$E,SMALL($G$32:$G$232,ROW()-ROW($G$32)+1))),"")</f>
        <v/>
      </c>
      <c r="E53" s="14" t="str">
        <f aca="false">IFERROR(IF(INDEX('Checkout Log'!$H:$H,SMALL($G$32:$G$232,ROW()-ROW($G$32)+1))=0,"",INDEX('Checkout Log'!$H:$H,SMALL($G$32:$G$232,ROW()-ROW($G$32)+1))),"")</f>
        <v/>
      </c>
      <c r="F53" s="14" t="str">
        <f aca="false">IFERROR(IF(INDEX('Checkout Log'!$I:$I,SMALL($G$32:$G$232,ROW()-ROW($G$32)+1))=0,"",INDEX('Checkout Log'!$I:$I,SMALL($G$32:$G$232,ROW()-ROW($G$32)+1))),"")</f>
        <v/>
      </c>
      <c r="G53" s="1" t="str">
        <f aca="false">IF('Checkout Log'!$A24="","",IF('Checkout Log'!$L24="Returned","",ROW('Checkout Log'!$A24)))</f>
        <v/>
      </c>
    </row>
    <row r="54" customFormat="false" ht="15" hidden="false" customHeight="false" outlineLevel="0" collapsed="false">
      <c r="A54" s="11" t="str">
        <f aca="false">IFERROR(IF(INDEX('Checkout Log'!$A:$A,SMALL($G$32:$G$232,ROW()-ROW($G$32)+1))="","",INDEX('Checkout Log'!$A:$A,SMALL($G$32:$G$232,ROW()-ROW($G$32)+1))),"")</f>
        <v/>
      </c>
      <c r="B54" s="11" t="str">
        <f aca="false">IFERROR(IF(INDEX('Checkout Log'!$C:$C,SMALL($G$32:$G$232,ROW()-ROW($G$32)+1))="","",INDEX('Checkout Log'!$C:$C,SMALL($G$32:$G$232,ROW()-ROW($G$32)+1))),"")</f>
        <v/>
      </c>
      <c r="C54" s="11" t="str">
        <f aca="false">IFERROR(IF(INDEX('Checkout Log'!$D:$D,SMALL($G$32:$G$232,ROW()-ROW($G$32)+1))="","",INDEX('Checkout Log'!$D:$D,SMALL($G$32:$G$232,ROW()-ROW($G$32)+1))),"")</f>
        <v/>
      </c>
      <c r="D54" s="11" t="str">
        <f aca="false">IFERROR(IF(INDEX('Checkout Log'!$E:$E,SMALL($G$32:$G$232,ROW()-ROW($G$32)+1))="","",INDEX('Checkout Log'!$E:$E,SMALL($G$32:$G$232,ROW()-ROW($G$32)+1))),"")</f>
        <v/>
      </c>
      <c r="E54" s="12" t="str">
        <f aca="false">IFERROR(IF(INDEX('Checkout Log'!$H:$H,SMALL($G$32:$G$232,ROW()-ROW($G$32)+1))=0,"",INDEX('Checkout Log'!$H:$H,SMALL($G$32:$G$232,ROW()-ROW($G$32)+1))),"")</f>
        <v/>
      </c>
      <c r="F54" s="12" t="str">
        <f aca="false">IFERROR(IF(INDEX('Checkout Log'!$I:$I,SMALL($G$32:$G$232,ROW()-ROW($G$32)+1))=0,"",INDEX('Checkout Log'!$I:$I,SMALL($G$32:$G$232,ROW()-ROW($G$32)+1))),"")</f>
        <v/>
      </c>
      <c r="G54" s="1" t="str">
        <f aca="false">IF('Checkout Log'!$A25="","",IF('Checkout Log'!$L25="Returned","",ROW('Checkout Log'!$A25)))</f>
        <v/>
      </c>
    </row>
    <row r="55" customFormat="false" ht="15" hidden="false" customHeight="false" outlineLevel="0" collapsed="false">
      <c r="A55" s="13" t="str">
        <f aca="false">IFERROR(IF(INDEX('Checkout Log'!$A:$A,SMALL($G$32:$G$232,ROW()-ROW($G$32)+1))="","",INDEX('Checkout Log'!$A:$A,SMALL($G$32:$G$232,ROW()-ROW($G$32)+1))),"")</f>
        <v/>
      </c>
      <c r="B55" s="13" t="str">
        <f aca="false">IFERROR(IF(INDEX('Checkout Log'!$C:$C,SMALL($G$32:$G$232,ROW()-ROW($G$32)+1))="","",INDEX('Checkout Log'!$C:$C,SMALL($G$32:$G$232,ROW()-ROW($G$32)+1))),"")</f>
        <v/>
      </c>
      <c r="C55" s="13" t="str">
        <f aca="false">IFERROR(IF(INDEX('Checkout Log'!$D:$D,SMALL($G$32:$G$232,ROW()-ROW($G$32)+1))="","",INDEX('Checkout Log'!$D:$D,SMALL($G$32:$G$232,ROW()-ROW($G$32)+1))),"")</f>
        <v/>
      </c>
      <c r="D55" s="13" t="str">
        <f aca="false">IFERROR(IF(INDEX('Checkout Log'!$E:$E,SMALL($G$32:$G$232,ROW()-ROW($G$32)+1))="","",INDEX('Checkout Log'!$E:$E,SMALL($G$32:$G$232,ROW()-ROW($G$32)+1))),"")</f>
        <v/>
      </c>
      <c r="E55" s="14" t="str">
        <f aca="false">IFERROR(IF(INDEX('Checkout Log'!$H:$H,SMALL($G$32:$G$232,ROW()-ROW($G$32)+1))=0,"",INDEX('Checkout Log'!$H:$H,SMALL($G$32:$G$232,ROW()-ROW($G$32)+1))),"")</f>
        <v/>
      </c>
      <c r="F55" s="14" t="str">
        <f aca="false">IFERROR(IF(INDEX('Checkout Log'!$I:$I,SMALL($G$32:$G$232,ROW()-ROW($G$32)+1))=0,"",INDEX('Checkout Log'!$I:$I,SMALL($G$32:$G$232,ROW()-ROW($G$32)+1))),"")</f>
        <v/>
      </c>
      <c r="G55" s="1" t="str">
        <f aca="false">IF('Checkout Log'!$A26="","",IF('Checkout Log'!$L26="Returned","",ROW('Checkout Log'!$A26)))</f>
        <v/>
      </c>
    </row>
    <row r="56" customFormat="false" ht="15" hidden="false" customHeight="false" outlineLevel="0" collapsed="false">
      <c r="A56" s="11" t="str">
        <f aca="false">IFERROR(IF(INDEX('Checkout Log'!$A:$A,SMALL($G$32:$G$232,ROW()-ROW($G$32)+1))="","",INDEX('Checkout Log'!$A:$A,SMALL($G$32:$G$232,ROW()-ROW($G$32)+1))),"")</f>
        <v/>
      </c>
      <c r="B56" s="11" t="str">
        <f aca="false">IFERROR(IF(INDEX('Checkout Log'!$C:$C,SMALL($G$32:$G$232,ROW()-ROW($G$32)+1))="","",INDEX('Checkout Log'!$C:$C,SMALL($G$32:$G$232,ROW()-ROW($G$32)+1))),"")</f>
        <v/>
      </c>
      <c r="C56" s="11" t="str">
        <f aca="false">IFERROR(IF(INDEX('Checkout Log'!$D:$D,SMALL($G$32:$G$232,ROW()-ROW($G$32)+1))="","",INDEX('Checkout Log'!$D:$D,SMALL($G$32:$G$232,ROW()-ROW($G$32)+1))),"")</f>
        <v/>
      </c>
      <c r="D56" s="11" t="str">
        <f aca="false">IFERROR(IF(INDEX('Checkout Log'!$E:$E,SMALL($G$32:$G$232,ROW()-ROW($G$32)+1))="","",INDEX('Checkout Log'!$E:$E,SMALL($G$32:$G$232,ROW()-ROW($G$32)+1))),"")</f>
        <v/>
      </c>
      <c r="E56" s="12" t="str">
        <f aca="false">IFERROR(IF(INDEX('Checkout Log'!$H:$H,SMALL($G$32:$G$232,ROW()-ROW($G$32)+1))=0,"",INDEX('Checkout Log'!$H:$H,SMALL($G$32:$G$232,ROW()-ROW($G$32)+1))),"")</f>
        <v/>
      </c>
      <c r="F56" s="12" t="str">
        <f aca="false">IFERROR(IF(INDEX('Checkout Log'!$I:$I,SMALL($G$32:$G$232,ROW()-ROW($G$32)+1))=0,"",INDEX('Checkout Log'!$I:$I,SMALL($G$32:$G$232,ROW()-ROW($G$32)+1))),"")</f>
        <v/>
      </c>
      <c r="G56" s="1" t="str">
        <f aca="false">IF('Checkout Log'!$A27="","",IF('Checkout Log'!$L27="Returned","",ROW('Checkout Log'!$A27)))</f>
        <v/>
      </c>
    </row>
    <row r="57" customFormat="false" ht="15" hidden="false" customHeight="false" outlineLevel="0" collapsed="false">
      <c r="A57" s="13" t="str">
        <f aca="false">IFERROR(IF(INDEX('Checkout Log'!$A:$A,SMALL($G$32:$G$232,ROW()-ROW($G$32)+1))="","",INDEX('Checkout Log'!$A:$A,SMALL($G$32:$G$232,ROW()-ROW($G$32)+1))),"")</f>
        <v/>
      </c>
      <c r="B57" s="13" t="str">
        <f aca="false">IFERROR(IF(INDEX('Checkout Log'!$C:$C,SMALL($G$32:$G$232,ROW()-ROW($G$32)+1))="","",INDEX('Checkout Log'!$C:$C,SMALL($G$32:$G$232,ROW()-ROW($G$32)+1))),"")</f>
        <v/>
      </c>
      <c r="C57" s="13" t="str">
        <f aca="false">IFERROR(IF(INDEX('Checkout Log'!$D:$D,SMALL($G$32:$G$232,ROW()-ROW($G$32)+1))="","",INDEX('Checkout Log'!$D:$D,SMALL($G$32:$G$232,ROW()-ROW($G$32)+1))),"")</f>
        <v/>
      </c>
      <c r="D57" s="13" t="str">
        <f aca="false">IFERROR(IF(INDEX('Checkout Log'!$E:$E,SMALL($G$32:$G$232,ROW()-ROW($G$32)+1))="","",INDEX('Checkout Log'!$E:$E,SMALL($G$32:$G$232,ROW()-ROW($G$32)+1))),"")</f>
        <v/>
      </c>
      <c r="E57" s="14" t="str">
        <f aca="false">IFERROR(IF(INDEX('Checkout Log'!$H:$H,SMALL($G$32:$G$232,ROW()-ROW($G$32)+1))=0,"",INDEX('Checkout Log'!$H:$H,SMALL($G$32:$G$232,ROW()-ROW($G$32)+1))),"")</f>
        <v/>
      </c>
      <c r="F57" s="14" t="str">
        <f aca="false">IFERROR(IF(INDEX('Checkout Log'!$I:$I,SMALL($G$32:$G$232,ROW()-ROW($G$32)+1))=0,"",INDEX('Checkout Log'!$I:$I,SMALL($G$32:$G$232,ROW()-ROW($G$32)+1))),"")</f>
        <v/>
      </c>
      <c r="G57" s="1" t="str">
        <f aca="false">IF('Checkout Log'!$A28="","",IF('Checkout Log'!$L28="Returned","",ROW('Checkout Log'!$A28)))</f>
        <v/>
      </c>
    </row>
    <row r="58" customFormat="false" ht="15" hidden="false" customHeight="false" outlineLevel="0" collapsed="false">
      <c r="A58" s="11" t="str">
        <f aca="false">IFERROR(IF(INDEX('Checkout Log'!$A:$A,SMALL($G$32:$G$232,ROW()-ROW($G$32)+1))="","",INDEX('Checkout Log'!$A:$A,SMALL($G$32:$G$232,ROW()-ROW($G$32)+1))),"")</f>
        <v/>
      </c>
      <c r="B58" s="11" t="str">
        <f aca="false">IFERROR(IF(INDEX('Checkout Log'!$C:$C,SMALL($G$32:$G$232,ROW()-ROW($G$32)+1))="","",INDEX('Checkout Log'!$C:$C,SMALL($G$32:$G$232,ROW()-ROW($G$32)+1))),"")</f>
        <v/>
      </c>
      <c r="C58" s="11" t="str">
        <f aca="false">IFERROR(IF(INDEX('Checkout Log'!$D:$D,SMALL($G$32:$G$232,ROW()-ROW($G$32)+1))="","",INDEX('Checkout Log'!$D:$D,SMALL($G$32:$G$232,ROW()-ROW($G$32)+1))),"")</f>
        <v/>
      </c>
      <c r="D58" s="11" t="str">
        <f aca="false">IFERROR(IF(INDEX('Checkout Log'!$E:$E,SMALL($G$32:$G$232,ROW()-ROW($G$32)+1))="","",INDEX('Checkout Log'!$E:$E,SMALL($G$32:$G$232,ROW()-ROW($G$32)+1))),"")</f>
        <v/>
      </c>
      <c r="E58" s="12" t="str">
        <f aca="false">IFERROR(IF(INDEX('Checkout Log'!$H:$H,SMALL($G$32:$G$232,ROW()-ROW($G$32)+1))=0,"",INDEX('Checkout Log'!$H:$H,SMALL($G$32:$G$232,ROW()-ROW($G$32)+1))),"")</f>
        <v/>
      </c>
      <c r="F58" s="12" t="str">
        <f aca="false">IFERROR(IF(INDEX('Checkout Log'!$I:$I,SMALL($G$32:$G$232,ROW()-ROW($G$32)+1))=0,"",INDEX('Checkout Log'!$I:$I,SMALL($G$32:$G$232,ROW()-ROW($G$32)+1))),"")</f>
        <v/>
      </c>
      <c r="G58" s="1" t="str">
        <f aca="false">IF('Checkout Log'!$A29="","",IF('Checkout Log'!$L29="Returned","",ROW('Checkout Log'!$A29)))</f>
        <v/>
      </c>
    </row>
    <row r="59" customFormat="false" ht="15" hidden="false" customHeight="false" outlineLevel="0" collapsed="false">
      <c r="A59" s="13" t="str">
        <f aca="false">IFERROR(IF(INDEX('Checkout Log'!$A:$A,SMALL($G$32:$G$232,ROW()-ROW($G$32)+1))="","",INDEX('Checkout Log'!$A:$A,SMALL($G$32:$G$232,ROW()-ROW($G$32)+1))),"")</f>
        <v/>
      </c>
      <c r="B59" s="13" t="str">
        <f aca="false">IFERROR(IF(INDEX('Checkout Log'!$C:$C,SMALL($G$32:$G$232,ROW()-ROW($G$32)+1))="","",INDEX('Checkout Log'!$C:$C,SMALL($G$32:$G$232,ROW()-ROW($G$32)+1))),"")</f>
        <v/>
      </c>
      <c r="C59" s="13" t="str">
        <f aca="false">IFERROR(IF(INDEX('Checkout Log'!$D:$D,SMALL($G$32:$G$232,ROW()-ROW($G$32)+1))="","",INDEX('Checkout Log'!$D:$D,SMALL($G$32:$G$232,ROW()-ROW($G$32)+1))),"")</f>
        <v/>
      </c>
      <c r="D59" s="13" t="str">
        <f aca="false">IFERROR(IF(INDEX('Checkout Log'!$E:$E,SMALL($G$32:$G$232,ROW()-ROW($G$32)+1))="","",INDEX('Checkout Log'!$E:$E,SMALL($G$32:$G$232,ROW()-ROW($G$32)+1))),"")</f>
        <v/>
      </c>
      <c r="E59" s="14" t="str">
        <f aca="false">IFERROR(IF(INDEX('Checkout Log'!$H:$H,SMALL($G$32:$G$232,ROW()-ROW($G$32)+1))=0,"",INDEX('Checkout Log'!$H:$H,SMALL($G$32:$G$232,ROW()-ROW($G$32)+1))),"")</f>
        <v/>
      </c>
      <c r="F59" s="14" t="str">
        <f aca="false">IFERROR(IF(INDEX('Checkout Log'!$I:$I,SMALL($G$32:$G$232,ROW()-ROW($G$32)+1))=0,"",INDEX('Checkout Log'!$I:$I,SMALL($G$32:$G$232,ROW()-ROW($G$32)+1))),"")</f>
        <v/>
      </c>
      <c r="G59" s="1" t="str">
        <f aca="false">IF('Checkout Log'!$A30="","",IF('Checkout Log'!$L30="Returned","",ROW('Checkout Log'!$A30)))</f>
        <v/>
      </c>
    </row>
    <row r="60" customFormat="false" ht="15" hidden="false" customHeight="false" outlineLevel="0" collapsed="false">
      <c r="A60" s="11" t="str">
        <f aca="false">IFERROR(IF(INDEX('Checkout Log'!$A:$A,SMALL($G$32:$G$232,ROW()-ROW($G$32)+1))="","",INDEX('Checkout Log'!$A:$A,SMALL($G$32:$G$232,ROW()-ROW($G$32)+1))),"")</f>
        <v/>
      </c>
      <c r="B60" s="11" t="str">
        <f aca="false">IFERROR(IF(INDEX('Checkout Log'!$C:$C,SMALL($G$32:$G$232,ROW()-ROW($G$32)+1))="","",INDEX('Checkout Log'!$C:$C,SMALL($G$32:$G$232,ROW()-ROW($G$32)+1))),"")</f>
        <v/>
      </c>
      <c r="C60" s="11" t="str">
        <f aca="false">IFERROR(IF(INDEX('Checkout Log'!$D:$D,SMALL($G$32:$G$232,ROW()-ROW($G$32)+1))="","",INDEX('Checkout Log'!$D:$D,SMALL($G$32:$G$232,ROW()-ROW($G$32)+1))),"")</f>
        <v/>
      </c>
      <c r="D60" s="11" t="str">
        <f aca="false">IFERROR(IF(INDEX('Checkout Log'!$E:$E,SMALL($G$32:$G$232,ROW()-ROW($G$32)+1))="","",INDEX('Checkout Log'!$E:$E,SMALL($G$32:$G$232,ROW()-ROW($G$32)+1))),"")</f>
        <v/>
      </c>
      <c r="E60" s="12" t="str">
        <f aca="false">IFERROR(IF(INDEX('Checkout Log'!$H:$H,SMALL($G$32:$G$232,ROW()-ROW($G$32)+1))=0,"",INDEX('Checkout Log'!$H:$H,SMALL($G$32:$G$232,ROW()-ROW($G$32)+1))),"")</f>
        <v/>
      </c>
      <c r="F60" s="12" t="str">
        <f aca="false">IFERROR(IF(INDEX('Checkout Log'!$I:$I,SMALL($G$32:$G$232,ROW()-ROW($G$32)+1))=0,"",INDEX('Checkout Log'!$I:$I,SMALL($G$32:$G$232,ROW()-ROW($G$32)+1))),"")</f>
        <v/>
      </c>
      <c r="G60" s="1" t="str">
        <f aca="false">IF('Checkout Log'!$A31="","",IF('Checkout Log'!$L31="Returned","",ROW('Checkout Log'!$A31)))</f>
        <v/>
      </c>
    </row>
    <row r="61" customFormat="false" ht="15" hidden="false" customHeight="false" outlineLevel="0" collapsed="false">
      <c r="A61" s="13" t="str">
        <f aca="false">IFERROR(IF(INDEX('Checkout Log'!$A:$A,SMALL($G$32:$G$232,ROW()-ROW($G$32)+1))="","",INDEX('Checkout Log'!$A:$A,SMALL($G$32:$G$232,ROW()-ROW($G$32)+1))),"")</f>
        <v/>
      </c>
      <c r="B61" s="13" t="str">
        <f aca="false">IFERROR(IF(INDEX('Checkout Log'!$C:$C,SMALL($G$32:$G$232,ROW()-ROW($G$32)+1))="","",INDEX('Checkout Log'!$C:$C,SMALL($G$32:$G$232,ROW()-ROW($G$32)+1))),"")</f>
        <v/>
      </c>
      <c r="C61" s="13" t="str">
        <f aca="false">IFERROR(IF(INDEX('Checkout Log'!$D:$D,SMALL($G$32:$G$232,ROW()-ROW($G$32)+1))="","",INDEX('Checkout Log'!$D:$D,SMALL($G$32:$G$232,ROW()-ROW($G$32)+1))),"")</f>
        <v/>
      </c>
      <c r="D61" s="13" t="str">
        <f aca="false">IFERROR(IF(INDEX('Checkout Log'!$E:$E,SMALL($G$32:$G$232,ROW()-ROW($G$32)+1))="","",INDEX('Checkout Log'!$E:$E,SMALL($G$32:$G$232,ROW()-ROW($G$32)+1))),"")</f>
        <v/>
      </c>
      <c r="E61" s="14" t="str">
        <f aca="false">IFERROR(IF(INDEX('Checkout Log'!$H:$H,SMALL($G$32:$G$232,ROW()-ROW($G$32)+1))=0,"",INDEX('Checkout Log'!$H:$H,SMALL($G$32:$G$232,ROW()-ROW($G$32)+1))),"")</f>
        <v/>
      </c>
      <c r="F61" s="14" t="str">
        <f aca="false">IFERROR(IF(INDEX('Checkout Log'!$I:$I,SMALL($G$32:$G$232,ROW()-ROW($G$32)+1))=0,"",INDEX('Checkout Log'!$I:$I,SMALL($G$32:$G$232,ROW()-ROW($G$32)+1))),"")</f>
        <v/>
      </c>
      <c r="G61" s="1" t="str">
        <f aca="false">IF('Checkout Log'!$A32="","",IF('Checkout Log'!$L32="Returned","",ROW('Checkout Log'!$A32)))</f>
        <v/>
      </c>
    </row>
    <row r="62" customFormat="false" ht="15" hidden="false" customHeight="false" outlineLevel="0" collapsed="false">
      <c r="A62" s="11" t="str">
        <f aca="false">IFERROR(IF(INDEX('Checkout Log'!$A:$A,SMALL($G$32:$G$232,ROW()-ROW($G$32)+1))="","",INDEX('Checkout Log'!$A:$A,SMALL($G$32:$G$232,ROW()-ROW($G$32)+1))),"")</f>
        <v/>
      </c>
      <c r="B62" s="11" t="str">
        <f aca="false">IFERROR(IF(INDEX('Checkout Log'!$C:$C,SMALL($G$32:$G$232,ROW()-ROW($G$32)+1))="","",INDEX('Checkout Log'!$C:$C,SMALL($G$32:$G$232,ROW()-ROW($G$32)+1))),"")</f>
        <v/>
      </c>
      <c r="C62" s="11" t="str">
        <f aca="false">IFERROR(IF(INDEX('Checkout Log'!$D:$D,SMALL($G$32:$G$232,ROW()-ROW($G$32)+1))="","",INDEX('Checkout Log'!$D:$D,SMALL($G$32:$G$232,ROW()-ROW($G$32)+1))),"")</f>
        <v/>
      </c>
      <c r="D62" s="11" t="str">
        <f aca="false">IFERROR(IF(INDEX('Checkout Log'!$E:$E,SMALL($G$32:$G$232,ROW()-ROW($G$32)+1))="","",INDEX('Checkout Log'!$E:$E,SMALL($G$32:$G$232,ROW()-ROW($G$32)+1))),"")</f>
        <v/>
      </c>
      <c r="E62" s="12" t="str">
        <f aca="false">IFERROR(IF(INDEX('Checkout Log'!$H:$H,SMALL($G$32:$G$232,ROW()-ROW($G$32)+1))=0,"",INDEX('Checkout Log'!$H:$H,SMALL($G$32:$G$232,ROW()-ROW($G$32)+1))),"")</f>
        <v/>
      </c>
      <c r="F62" s="12" t="str">
        <f aca="false">IFERROR(IF(INDEX('Checkout Log'!$I:$I,SMALL($G$32:$G$232,ROW()-ROW($G$32)+1))=0,"",INDEX('Checkout Log'!$I:$I,SMALL($G$32:$G$232,ROW()-ROW($G$32)+1))),"")</f>
        <v/>
      </c>
      <c r="G62" s="1" t="str">
        <f aca="false">IF('Checkout Log'!$A33="","",IF('Checkout Log'!$L33="Returned","",ROW('Checkout Log'!$A33)))</f>
        <v/>
      </c>
    </row>
    <row r="63" customFormat="false" ht="15" hidden="false" customHeight="false" outlineLevel="0" collapsed="false">
      <c r="A63" s="13" t="str">
        <f aca="false">IFERROR(IF(INDEX('Checkout Log'!$A:$A,SMALL($G$32:$G$232,ROW()-ROW($G$32)+1))="","",INDEX('Checkout Log'!$A:$A,SMALL($G$32:$G$232,ROW()-ROW($G$32)+1))),"")</f>
        <v/>
      </c>
      <c r="B63" s="13" t="str">
        <f aca="false">IFERROR(IF(INDEX('Checkout Log'!$C:$C,SMALL($G$32:$G$232,ROW()-ROW($G$32)+1))="","",INDEX('Checkout Log'!$C:$C,SMALL($G$32:$G$232,ROW()-ROW($G$32)+1))),"")</f>
        <v/>
      </c>
      <c r="C63" s="13" t="str">
        <f aca="false">IFERROR(IF(INDEX('Checkout Log'!$D:$D,SMALL($G$32:$G$232,ROW()-ROW($G$32)+1))="","",INDEX('Checkout Log'!$D:$D,SMALL($G$32:$G$232,ROW()-ROW($G$32)+1))),"")</f>
        <v/>
      </c>
      <c r="D63" s="13" t="str">
        <f aca="false">IFERROR(IF(INDEX('Checkout Log'!$E:$E,SMALL($G$32:$G$232,ROW()-ROW($G$32)+1))="","",INDEX('Checkout Log'!$E:$E,SMALL($G$32:$G$232,ROW()-ROW($G$32)+1))),"")</f>
        <v/>
      </c>
      <c r="E63" s="14" t="str">
        <f aca="false">IFERROR(IF(INDEX('Checkout Log'!$H:$H,SMALL($G$32:$G$232,ROW()-ROW($G$32)+1))=0,"",INDEX('Checkout Log'!$H:$H,SMALL($G$32:$G$232,ROW()-ROW($G$32)+1))),"")</f>
        <v/>
      </c>
      <c r="F63" s="14" t="str">
        <f aca="false">IFERROR(IF(INDEX('Checkout Log'!$I:$I,SMALL($G$32:$G$232,ROW()-ROW($G$32)+1))=0,"",INDEX('Checkout Log'!$I:$I,SMALL($G$32:$G$232,ROW()-ROW($G$32)+1))),"")</f>
        <v/>
      </c>
      <c r="G63" s="1" t="str">
        <f aca="false">IF('Checkout Log'!$A34="","",IF('Checkout Log'!$L34="Returned","",ROW('Checkout Log'!$A34)))</f>
        <v/>
      </c>
    </row>
    <row r="64" customFormat="false" ht="15" hidden="false" customHeight="false" outlineLevel="0" collapsed="false">
      <c r="A64" s="11" t="str">
        <f aca="false">IFERROR(IF(INDEX('Checkout Log'!$A:$A,SMALL($G$32:$G$232,ROW()-ROW($G$32)+1))="","",INDEX('Checkout Log'!$A:$A,SMALL($G$32:$G$232,ROW()-ROW($G$32)+1))),"")</f>
        <v/>
      </c>
      <c r="B64" s="11" t="str">
        <f aca="false">IFERROR(IF(INDEX('Checkout Log'!$C:$C,SMALL($G$32:$G$232,ROW()-ROW($G$32)+1))="","",INDEX('Checkout Log'!$C:$C,SMALL($G$32:$G$232,ROW()-ROW($G$32)+1))),"")</f>
        <v/>
      </c>
      <c r="C64" s="11" t="str">
        <f aca="false">IFERROR(IF(INDEX('Checkout Log'!$D:$D,SMALL($G$32:$G$232,ROW()-ROW($G$32)+1))="","",INDEX('Checkout Log'!$D:$D,SMALL($G$32:$G$232,ROW()-ROW($G$32)+1))),"")</f>
        <v/>
      </c>
      <c r="D64" s="11" t="str">
        <f aca="false">IFERROR(IF(INDEX('Checkout Log'!$E:$E,SMALL($G$32:$G$232,ROW()-ROW($G$32)+1))="","",INDEX('Checkout Log'!$E:$E,SMALL($G$32:$G$232,ROW()-ROW($G$32)+1))),"")</f>
        <v/>
      </c>
      <c r="E64" s="12" t="str">
        <f aca="false">IFERROR(IF(INDEX('Checkout Log'!$H:$H,SMALL($G$32:$G$232,ROW()-ROW($G$32)+1))=0,"",INDEX('Checkout Log'!$H:$H,SMALL($G$32:$G$232,ROW()-ROW($G$32)+1))),"")</f>
        <v/>
      </c>
      <c r="F64" s="12" t="str">
        <f aca="false">IFERROR(IF(INDEX('Checkout Log'!$I:$I,SMALL($G$32:$G$232,ROW()-ROW($G$32)+1))=0,"",INDEX('Checkout Log'!$I:$I,SMALL($G$32:$G$232,ROW()-ROW($G$32)+1))),"")</f>
        <v/>
      </c>
      <c r="G64" s="1" t="str">
        <f aca="false">IF('Checkout Log'!$A35="","",IF('Checkout Log'!$L35="Returned","",ROW('Checkout Log'!$A35)))</f>
        <v/>
      </c>
    </row>
    <row r="65" customFormat="false" ht="15" hidden="false" customHeight="false" outlineLevel="0" collapsed="false">
      <c r="A65" s="13" t="str">
        <f aca="false">IFERROR(IF(INDEX('Checkout Log'!$A:$A,SMALL($G$32:$G$232,ROW()-ROW($G$32)+1))="","",INDEX('Checkout Log'!$A:$A,SMALL($G$32:$G$232,ROW()-ROW($G$32)+1))),"")</f>
        <v/>
      </c>
      <c r="B65" s="13" t="str">
        <f aca="false">IFERROR(IF(INDEX('Checkout Log'!$C:$C,SMALL($G$32:$G$232,ROW()-ROW($G$32)+1))="","",INDEX('Checkout Log'!$C:$C,SMALL($G$32:$G$232,ROW()-ROW($G$32)+1))),"")</f>
        <v/>
      </c>
      <c r="C65" s="13" t="str">
        <f aca="false">IFERROR(IF(INDEX('Checkout Log'!$D:$D,SMALL($G$32:$G$232,ROW()-ROW($G$32)+1))="","",INDEX('Checkout Log'!$D:$D,SMALL($G$32:$G$232,ROW()-ROW($G$32)+1))),"")</f>
        <v/>
      </c>
      <c r="D65" s="13" t="str">
        <f aca="false">IFERROR(IF(INDEX('Checkout Log'!$E:$E,SMALL($G$32:$G$232,ROW()-ROW($G$32)+1))="","",INDEX('Checkout Log'!$E:$E,SMALL($G$32:$G$232,ROW()-ROW($G$32)+1))),"")</f>
        <v/>
      </c>
      <c r="E65" s="14" t="str">
        <f aca="false">IFERROR(IF(INDEX('Checkout Log'!$H:$H,SMALL($G$32:$G$232,ROW()-ROW($G$32)+1))=0,"",INDEX('Checkout Log'!$H:$H,SMALL($G$32:$G$232,ROW()-ROW($G$32)+1))),"")</f>
        <v/>
      </c>
      <c r="F65" s="14" t="str">
        <f aca="false">IFERROR(IF(INDEX('Checkout Log'!$I:$I,SMALL($G$32:$G$232,ROW()-ROW($G$32)+1))=0,"",INDEX('Checkout Log'!$I:$I,SMALL($G$32:$G$232,ROW()-ROW($G$32)+1))),"")</f>
        <v/>
      </c>
      <c r="G65" s="1" t="str">
        <f aca="false">IF('Checkout Log'!$A36="","",IF('Checkout Log'!$L36="Returned","",ROW('Checkout Log'!$A36)))</f>
        <v/>
      </c>
    </row>
    <row r="66" customFormat="false" ht="15" hidden="false" customHeight="false" outlineLevel="0" collapsed="false">
      <c r="A66" s="11" t="str">
        <f aca="false">IFERROR(IF(INDEX('Checkout Log'!$A:$A,SMALL($G$32:$G$232,ROW()-ROW($G$32)+1))="","",INDEX('Checkout Log'!$A:$A,SMALL($G$32:$G$232,ROW()-ROW($G$32)+1))),"")</f>
        <v/>
      </c>
      <c r="B66" s="11" t="str">
        <f aca="false">IFERROR(IF(INDEX('Checkout Log'!$C:$C,SMALL($G$32:$G$232,ROW()-ROW($G$32)+1))="","",INDEX('Checkout Log'!$C:$C,SMALL($G$32:$G$232,ROW()-ROW($G$32)+1))),"")</f>
        <v/>
      </c>
      <c r="C66" s="11" t="str">
        <f aca="false">IFERROR(IF(INDEX('Checkout Log'!$D:$D,SMALL($G$32:$G$232,ROW()-ROW($G$32)+1))="","",INDEX('Checkout Log'!$D:$D,SMALL($G$32:$G$232,ROW()-ROW($G$32)+1))),"")</f>
        <v/>
      </c>
      <c r="D66" s="11" t="str">
        <f aca="false">IFERROR(IF(INDEX('Checkout Log'!$E:$E,SMALL($G$32:$G$232,ROW()-ROW($G$32)+1))="","",INDEX('Checkout Log'!$E:$E,SMALL($G$32:$G$232,ROW()-ROW($G$32)+1))),"")</f>
        <v/>
      </c>
      <c r="E66" s="12" t="str">
        <f aca="false">IFERROR(IF(INDEX('Checkout Log'!$H:$H,SMALL($G$32:$G$232,ROW()-ROW($G$32)+1))=0,"",INDEX('Checkout Log'!$H:$H,SMALL($G$32:$G$232,ROW()-ROW($G$32)+1))),"")</f>
        <v/>
      </c>
      <c r="F66" s="12" t="str">
        <f aca="false">IFERROR(IF(INDEX('Checkout Log'!$I:$I,SMALL($G$32:$G$232,ROW()-ROW($G$32)+1))=0,"",INDEX('Checkout Log'!$I:$I,SMALL($G$32:$G$232,ROW()-ROW($G$32)+1))),"")</f>
        <v/>
      </c>
      <c r="G66" s="1" t="str">
        <f aca="false">IF('Checkout Log'!$A37="","",IF('Checkout Log'!$L37="Returned","",ROW('Checkout Log'!$A37)))</f>
        <v/>
      </c>
    </row>
    <row r="67" customFormat="false" ht="15" hidden="false" customHeight="false" outlineLevel="0" collapsed="false">
      <c r="A67" s="13" t="str">
        <f aca="false">IFERROR(IF(INDEX('Checkout Log'!$A:$A,SMALL($G$32:$G$232,ROW()-ROW($G$32)+1))="","",INDEX('Checkout Log'!$A:$A,SMALL($G$32:$G$232,ROW()-ROW($G$32)+1))),"")</f>
        <v/>
      </c>
      <c r="B67" s="13" t="str">
        <f aca="false">IFERROR(IF(INDEX('Checkout Log'!$C:$C,SMALL($G$32:$G$232,ROW()-ROW($G$32)+1))="","",INDEX('Checkout Log'!$C:$C,SMALL($G$32:$G$232,ROW()-ROW($G$32)+1))),"")</f>
        <v/>
      </c>
      <c r="C67" s="13" t="str">
        <f aca="false">IFERROR(IF(INDEX('Checkout Log'!$D:$D,SMALL($G$32:$G$232,ROW()-ROW($G$32)+1))="","",INDEX('Checkout Log'!$D:$D,SMALL($G$32:$G$232,ROW()-ROW($G$32)+1))),"")</f>
        <v/>
      </c>
      <c r="D67" s="13" t="str">
        <f aca="false">IFERROR(IF(INDEX('Checkout Log'!$E:$E,SMALL($G$32:$G$232,ROW()-ROW($G$32)+1))="","",INDEX('Checkout Log'!$E:$E,SMALL($G$32:$G$232,ROW()-ROW($G$32)+1))),"")</f>
        <v/>
      </c>
      <c r="E67" s="14" t="str">
        <f aca="false">IFERROR(IF(INDEX('Checkout Log'!$H:$H,SMALL($G$32:$G$232,ROW()-ROW($G$32)+1))=0,"",INDEX('Checkout Log'!$H:$H,SMALL($G$32:$G$232,ROW()-ROW($G$32)+1))),"")</f>
        <v/>
      </c>
      <c r="F67" s="14" t="str">
        <f aca="false">IFERROR(IF(INDEX('Checkout Log'!$I:$I,SMALL($G$32:$G$232,ROW()-ROW($G$32)+1))=0,"",INDEX('Checkout Log'!$I:$I,SMALL($G$32:$G$232,ROW()-ROW($G$32)+1))),"")</f>
        <v/>
      </c>
      <c r="G67" s="1" t="str">
        <f aca="false">IF('Checkout Log'!$A38="","",IF('Checkout Log'!$L38="Returned","",ROW('Checkout Log'!$A38)))</f>
        <v/>
      </c>
    </row>
    <row r="68" customFormat="false" ht="15" hidden="false" customHeight="false" outlineLevel="0" collapsed="false">
      <c r="A68" s="11" t="str">
        <f aca="false">IFERROR(IF(INDEX('Checkout Log'!$A:$A,SMALL($G$32:$G$232,ROW()-ROW($G$32)+1))="","",INDEX('Checkout Log'!$A:$A,SMALL($G$32:$G$232,ROW()-ROW($G$32)+1))),"")</f>
        <v/>
      </c>
      <c r="B68" s="11" t="str">
        <f aca="false">IFERROR(IF(INDEX('Checkout Log'!$C:$C,SMALL($G$32:$G$232,ROW()-ROW($G$32)+1))="","",INDEX('Checkout Log'!$C:$C,SMALL($G$32:$G$232,ROW()-ROW($G$32)+1))),"")</f>
        <v/>
      </c>
      <c r="C68" s="11" t="str">
        <f aca="false">IFERROR(IF(INDEX('Checkout Log'!$D:$D,SMALL($G$32:$G$232,ROW()-ROW($G$32)+1))="","",INDEX('Checkout Log'!$D:$D,SMALL($G$32:$G$232,ROW()-ROW($G$32)+1))),"")</f>
        <v/>
      </c>
      <c r="D68" s="11" t="str">
        <f aca="false">IFERROR(IF(INDEX('Checkout Log'!$E:$E,SMALL($G$32:$G$232,ROW()-ROW($G$32)+1))="","",INDEX('Checkout Log'!$E:$E,SMALL($G$32:$G$232,ROW()-ROW($G$32)+1))),"")</f>
        <v/>
      </c>
      <c r="E68" s="12" t="str">
        <f aca="false">IFERROR(IF(INDEX('Checkout Log'!$H:$H,SMALL($G$32:$G$232,ROW()-ROW($G$32)+1))=0,"",INDEX('Checkout Log'!$H:$H,SMALL($G$32:$G$232,ROW()-ROW($G$32)+1))),"")</f>
        <v/>
      </c>
      <c r="F68" s="12" t="str">
        <f aca="false">IFERROR(IF(INDEX('Checkout Log'!$I:$I,SMALL($G$32:$G$232,ROW()-ROW($G$32)+1))=0,"",INDEX('Checkout Log'!$I:$I,SMALL($G$32:$G$232,ROW()-ROW($G$32)+1))),"")</f>
        <v/>
      </c>
      <c r="G68" s="1" t="str">
        <f aca="false">IF('Checkout Log'!$A39="","",IF('Checkout Log'!$L39="Returned","",ROW('Checkout Log'!$A39)))</f>
        <v/>
      </c>
    </row>
    <row r="69" customFormat="false" ht="15" hidden="false" customHeight="false" outlineLevel="0" collapsed="false">
      <c r="A69" s="13" t="str">
        <f aca="false">IFERROR(IF(INDEX('Checkout Log'!$A:$A,SMALL($G$32:$G$232,ROW()-ROW($G$32)+1))="","",INDEX('Checkout Log'!$A:$A,SMALL($G$32:$G$232,ROW()-ROW($G$32)+1))),"")</f>
        <v/>
      </c>
      <c r="B69" s="13" t="str">
        <f aca="false">IFERROR(IF(INDEX('Checkout Log'!$C:$C,SMALL($G$32:$G$232,ROW()-ROW($G$32)+1))="","",INDEX('Checkout Log'!$C:$C,SMALL($G$32:$G$232,ROW()-ROW($G$32)+1))),"")</f>
        <v/>
      </c>
      <c r="C69" s="13" t="str">
        <f aca="false">IFERROR(IF(INDEX('Checkout Log'!$D:$D,SMALL($G$32:$G$232,ROW()-ROW($G$32)+1))="","",INDEX('Checkout Log'!$D:$D,SMALL($G$32:$G$232,ROW()-ROW($G$32)+1))),"")</f>
        <v/>
      </c>
      <c r="D69" s="13" t="str">
        <f aca="false">IFERROR(IF(INDEX('Checkout Log'!$E:$E,SMALL($G$32:$G$232,ROW()-ROW($G$32)+1))="","",INDEX('Checkout Log'!$E:$E,SMALL($G$32:$G$232,ROW()-ROW($G$32)+1))),"")</f>
        <v/>
      </c>
      <c r="E69" s="14" t="str">
        <f aca="false">IFERROR(IF(INDEX('Checkout Log'!$H:$H,SMALL($G$32:$G$232,ROW()-ROW($G$32)+1))=0,"",INDEX('Checkout Log'!$H:$H,SMALL($G$32:$G$232,ROW()-ROW($G$32)+1))),"")</f>
        <v/>
      </c>
      <c r="F69" s="14" t="str">
        <f aca="false">IFERROR(IF(INDEX('Checkout Log'!$I:$I,SMALL($G$32:$G$232,ROW()-ROW($G$32)+1))=0,"",INDEX('Checkout Log'!$I:$I,SMALL($G$32:$G$232,ROW()-ROW($G$32)+1))),"")</f>
        <v/>
      </c>
      <c r="G69" s="1" t="str">
        <f aca="false">IF('Checkout Log'!$A40="","",IF('Checkout Log'!$L40="Returned","",ROW('Checkout Log'!$A40)))</f>
        <v/>
      </c>
    </row>
    <row r="70" customFormat="false" ht="15" hidden="false" customHeight="false" outlineLevel="0" collapsed="false">
      <c r="A70" s="11" t="str">
        <f aca="false">IFERROR(IF(INDEX('Checkout Log'!$A:$A,SMALL($G$32:$G$232,ROW()-ROW($G$32)+1))="","",INDEX('Checkout Log'!$A:$A,SMALL($G$32:$G$232,ROW()-ROW($G$32)+1))),"")</f>
        <v/>
      </c>
      <c r="B70" s="11" t="str">
        <f aca="false">IFERROR(IF(INDEX('Checkout Log'!$C:$C,SMALL($G$32:$G$232,ROW()-ROW($G$32)+1))="","",INDEX('Checkout Log'!$C:$C,SMALL($G$32:$G$232,ROW()-ROW($G$32)+1))),"")</f>
        <v/>
      </c>
      <c r="C70" s="11" t="str">
        <f aca="false">IFERROR(IF(INDEX('Checkout Log'!$D:$D,SMALL($G$32:$G$232,ROW()-ROW($G$32)+1))="","",INDEX('Checkout Log'!$D:$D,SMALL($G$32:$G$232,ROW()-ROW($G$32)+1))),"")</f>
        <v/>
      </c>
      <c r="D70" s="11" t="str">
        <f aca="false">IFERROR(IF(INDEX('Checkout Log'!$E:$E,SMALL($G$32:$G$232,ROW()-ROW($G$32)+1))="","",INDEX('Checkout Log'!$E:$E,SMALL($G$32:$G$232,ROW()-ROW($G$32)+1))),"")</f>
        <v/>
      </c>
      <c r="E70" s="12" t="str">
        <f aca="false">IFERROR(IF(INDEX('Checkout Log'!$H:$H,SMALL($G$32:$G$232,ROW()-ROW($G$32)+1))=0,"",INDEX('Checkout Log'!$H:$H,SMALL($G$32:$G$232,ROW()-ROW($G$32)+1))),"")</f>
        <v/>
      </c>
      <c r="F70" s="12" t="str">
        <f aca="false">IFERROR(IF(INDEX('Checkout Log'!$I:$I,SMALL($G$32:$G$232,ROW()-ROW($G$32)+1))=0,"",INDEX('Checkout Log'!$I:$I,SMALL($G$32:$G$232,ROW()-ROW($G$32)+1))),"")</f>
        <v/>
      </c>
      <c r="G70" s="1" t="str">
        <f aca="false">IF('Checkout Log'!$A41="","",IF('Checkout Log'!$L41="Returned","",ROW('Checkout Log'!$A41)))</f>
        <v/>
      </c>
    </row>
    <row r="71" customFormat="false" ht="15" hidden="false" customHeight="false" outlineLevel="0" collapsed="false">
      <c r="A71" s="13" t="str">
        <f aca="false">IFERROR(IF(INDEX('Checkout Log'!$A:$A,SMALL($G$32:$G$232,ROW()-ROW($G$32)+1))="","",INDEX('Checkout Log'!$A:$A,SMALL($G$32:$G$232,ROW()-ROW($G$32)+1))),"")</f>
        <v/>
      </c>
      <c r="B71" s="13" t="str">
        <f aca="false">IFERROR(IF(INDEX('Checkout Log'!$C:$C,SMALL($G$32:$G$232,ROW()-ROW($G$32)+1))="","",INDEX('Checkout Log'!$C:$C,SMALL($G$32:$G$232,ROW()-ROW($G$32)+1))),"")</f>
        <v/>
      </c>
      <c r="C71" s="13" t="str">
        <f aca="false">IFERROR(IF(INDEX('Checkout Log'!$D:$D,SMALL($G$32:$G$232,ROW()-ROW($G$32)+1))="","",INDEX('Checkout Log'!$D:$D,SMALL($G$32:$G$232,ROW()-ROW($G$32)+1))),"")</f>
        <v/>
      </c>
      <c r="D71" s="13" t="str">
        <f aca="false">IFERROR(IF(INDEX('Checkout Log'!$E:$E,SMALL($G$32:$G$232,ROW()-ROW($G$32)+1))="","",INDEX('Checkout Log'!$E:$E,SMALL($G$32:$G$232,ROW()-ROW($G$32)+1))),"")</f>
        <v/>
      </c>
      <c r="E71" s="14" t="str">
        <f aca="false">IFERROR(IF(INDEX('Checkout Log'!$H:$H,SMALL($G$32:$G$232,ROW()-ROW($G$32)+1))=0,"",INDEX('Checkout Log'!$H:$H,SMALL($G$32:$G$232,ROW()-ROW($G$32)+1))),"")</f>
        <v/>
      </c>
      <c r="F71" s="14" t="str">
        <f aca="false">IFERROR(IF(INDEX('Checkout Log'!$I:$I,SMALL($G$32:$G$232,ROW()-ROW($G$32)+1))=0,"",INDEX('Checkout Log'!$I:$I,SMALL($G$32:$G$232,ROW()-ROW($G$32)+1))),"")</f>
        <v/>
      </c>
      <c r="G71" s="1" t="str">
        <f aca="false">IF('Checkout Log'!$A42="","",IF('Checkout Log'!$L42="Returned","",ROW('Checkout Log'!$A42)))</f>
        <v/>
      </c>
    </row>
    <row r="72" customFormat="false" ht="15" hidden="false" customHeight="false" outlineLevel="0" collapsed="false">
      <c r="A72" s="11" t="str">
        <f aca="false">IFERROR(IF(INDEX('Checkout Log'!$A:$A,SMALL($G$32:$G$232,ROW()-ROW($G$32)+1))="","",INDEX('Checkout Log'!$A:$A,SMALL($G$32:$G$232,ROW()-ROW($G$32)+1))),"")</f>
        <v/>
      </c>
      <c r="B72" s="11" t="str">
        <f aca="false">IFERROR(IF(INDEX('Checkout Log'!$C:$C,SMALL($G$32:$G$232,ROW()-ROW($G$32)+1))="","",INDEX('Checkout Log'!$C:$C,SMALL($G$32:$G$232,ROW()-ROW($G$32)+1))),"")</f>
        <v/>
      </c>
      <c r="C72" s="11" t="str">
        <f aca="false">IFERROR(IF(INDEX('Checkout Log'!$D:$D,SMALL($G$32:$G$232,ROW()-ROW($G$32)+1))="","",INDEX('Checkout Log'!$D:$D,SMALL($G$32:$G$232,ROW()-ROW($G$32)+1))),"")</f>
        <v/>
      </c>
      <c r="D72" s="11" t="str">
        <f aca="false">IFERROR(IF(INDEX('Checkout Log'!$E:$E,SMALL($G$32:$G$232,ROW()-ROW($G$32)+1))="","",INDEX('Checkout Log'!$E:$E,SMALL($G$32:$G$232,ROW()-ROW($G$32)+1))),"")</f>
        <v/>
      </c>
      <c r="E72" s="12" t="str">
        <f aca="false">IFERROR(IF(INDEX('Checkout Log'!$H:$H,SMALL($G$32:$G$232,ROW()-ROW($G$32)+1))=0,"",INDEX('Checkout Log'!$H:$H,SMALL($G$32:$G$232,ROW()-ROW($G$32)+1))),"")</f>
        <v/>
      </c>
      <c r="F72" s="12" t="str">
        <f aca="false">IFERROR(IF(INDEX('Checkout Log'!$I:$I,SMALL($G$32:$G$232,ROW()-ROW($G$32)+1))=0,"",INDEX('Checkout Log'!$I:$I,SMALL($G$32:$G$232,ROW()-ROW($G$32)+1))),"")</f>
        <v/>
      </c>
      <c r="G72" s="1" t="str">
        <f aca="false">IF('Checkout Log'!$A43="","",IF('Checkout Log'!$L43="Returned","",ROW('Checkout Log'!$A43)))</f>
        <v/>
      </c>
    </row>
    <row r="73" customFormat="false" ht="15" hidden="false" customHeight="false" outlineLevel="0" collapsed="false">
      <c r="A73" s="13" t="str">
        <f aca="false">IFERROR(IF(INDEX('Checkout Log'!$A:$A,SMALL($G$32:$G$232,ROW()-ROW($G$32)+1))="","",INDEX('Checkout Log'!$A:$A,SMALL($G$32:$G$232,ROW()-ROW($G$32)+1))),"")</f>
        <v/>
      </c>
      <c r="B73" s="13" t="str">
        <f aca="false">IFERROR(IF(INDEX('Checkout Log'!$C:$C,SMALL($G$32:$G$232,ROW()-ROW($G$32)+1))="","",INDEX('Checkout Log'!$C:$C,SMALL($G$32:$G$232,ROW()-ROW($G$32)+1))),"")</f>
        <v/>
      </c>
      <c r="C73" s="13" t="str">
        <f aca="false">IFERROR(IF(INDEX('Checkout Log'!$D:$D,SMALL($G$32:$G$232,ROW()-ROW($G$32)+1))="","",INDEX('Checkout Log'!$D:$D,SMALL($G$32:$G$232,ROW()-ROW($G$32)+1))),"")</f>
        <v/>
      </c>
      <c r="D73" s="13" t="str">
        <f aca="false">IFERROR(IF(INDEX('Checkout Log'!$E:$E,SMALL($G$32:$G$232,ROW()-ROW($G$32)+1))="","",INDEX('Checkout Log'!$E:$E,SMALL($G$32:$G$232,ROW()-ROW($G$32)+1))),"")</f>
        <v/>
      </c>
      <c r="E73" s="14" t="str">
        <f aca="false">IFERROR(IF(INDEX('Checkout Log'!$H:$H,SMALL($G$32:$G$232,ROW()-ROW($G$32)+1))=0,"",INDEX('Checkout Log'!$H:$H,SMALL($G$32:$G$232,ROW()-ROW($G$32)+1))),"")</f>
        <v/>
      </c>
      <c r="F73" s="14" t="str">
        <f aca="false">IFERROR(IF(INDEX('Checkout Log'!$I:$I,SMALL($G$32:$G$232,ROW()-ROW($G$32)+1))=0,"",INDEX('Checkout Log'!$I:$I,SMALL($G$32:$G$232,ROW()-ROW($G$32)+1))),"")</f>
        <v/>
      </c>
      <c r="G73" s="1" t="str">
        <f aca="false">IF('Checkout Log'!$A44="","",IF('Checkout Log'!$L44="Returned","",ROW('Checkout Log'!$A44)))</f>
        <v/>
      </c>
    </row>
    <row r="74" customFormat="false" ht="15" hidden="false" customHeight="false" outlineLevel="0" collapsed="false">
      <c r="A74" s="11" t="str">
        <f aca="false">IFERROR(IF(INDEX('Checkout Log'!$A:$A,SMALL($G$32:$G$232,ROW()-ROW($G$32)+1))="","",INDEX('Checkout Log'!$A:$A,SMALL($G$32:$G$232,ROW()-ROW($G$32)+1))),"")</f>
        <v/>
      </c>
      <c r="B74" s="11" t="str">
        <f aca="false">IFERROR(IF(INDEX('Checkout Log'!$C:$C,SMALL($G$32:$G$232,ROW()-ROW($G$32)+1))="","",INDEX('Checkout Log'!$C:$C,SMALL($G$32:$G$232,ROW()-ROW($G$32)+1))),"")</f>
        <v/>
      </c>
      <c r="C74" s="11" t="str">
        <f aca="false">IFERROR(IF(INDEX('Checkout Log'!$D:$D,SMALL($G$32:$G$232,ROW()-ROW($G$32)+1))="","",INDEX('Checkout Log'!$D:$D,SMALL($G$32:$G$232,ROW()-ROW($G$32)+1))),"")</f>
        <v/>
      </c>
      <c r="D74" s="11" t="str">
        <f aca="false">IFERROR(IF(INDEX('Checkout Log'!$E:$E,SMALL($G$32:$G$232,ROW()-ROW($G$32)+1))="","",INDEX('Checkout Log'!$E:$E,SMALL($G$32:$G$232,ROW()-ROW($G$32)+1))),"")</f>
        <v/>
      </c>
      <c r="E74" s="12" t="str">
        <f aca="false">IFERROR(IF(INDEX('Checkout Log'!$H:$H,SMALL($G$32:$G$232,ROW()-ROW($G$32)+1))=0,"",INDEX('Checkout Log'!$H:$H,SMALL($G$32:$G$232,ROW()-ROW($G$32)+1))),"")</f>
        <v/>
      </c>
      <c r="F74" s="12" t="str">
        <f aca="false">IFERROR(IF(INDEX('Checkout Log'!$I:$I,SMALL($G$32:$G$232,ROW()-ROW($G$32)+1))=0,"",INDEX('Checkout Log'!$I:$I,SMALL($G$32:$G$232,ROW()-ROW($G$32)+1))),"")</f>
        <v/>
      </c>
      <c r="G74" s="1" t="str">
        <f aca="false">IF('Checkout Log'!$A45="","",IF('Checkout Log'!$L45="Returned","",ROW('Checkout Log'!$A45)))</f>
        <v/>
      </c>
    </row>
    <row r="75" customFormat="false" ht="15" hidden="false" customHeight="false" outlineLevel="0" collapsed="false">
      <c r="A75" s="13" t="str">
        <f aca="false">IFERROR(IF(INDEX('Checkout Log'!$A:$A,SMALL($G$32:$G$232,ROW()-ROW($G$32)+1))="","",INDEX('Checkout Log'!$A:$A,SMALL($G$32:$G$232,ROW()-ROW($G$32)+1))),"")</f>
        <v/>
      </c>
      <c r="B75" s="13" t="str">
        <f aca="false">IFERROR(IF(INDEX('Checkout Log'!$C:$C,SMALL($G$32:$G$232,ROW()-ROW($G$32)+1))="","",INDEX('Checkout Log'!$C:$C,SMALL($G$32:$G$232,ROW()-ROW($G$32)+1))),"")</f>
        <v/>
      </c>
      <c r="C75" s="13" t="str">
        <f aca="false">IFERROR(IF(INDEX('Checkout Log'!$D:$D,SMALL($G$32:$G$232,ROW()-ROW($G$32)+1))="","",INDEX('Checkout Log'!$D:$D,SMALL($G$32:$G$232,ROW()-ROW($G$32)+1))),"")</f>
        <v/>
      </c>
      <c r="D75" s="13" t="str">
        <f aca="false">IFERROR(IF(INDEX('Checkout Log'!$E:$E,SMALL($G$32:$G$232,ROW()-ROW($G$32)+1))="","",INDEX('Checkout Log'!$E:$E,SMALL($G$32:$G$232,ROW()-ROW($G$32)+1))),"")</f>
        <v/>
      </c>
      <c r="E75" s="14" t="str">
        <f aca="false">IFERROR(IF(INDEX('Checkout Log'!$H:$H,SMALL($G$32:$G$232,ROW()-ROW($G$32)+1))=0,"",INDEX('Checkout Log'!$H:$H,SMALL($G$32:$G$232,ROW()-ROW($G$32)+1))),"")</f>
        <v/>
      </c>
      <c r="F75" s="14" t="str">
        <f aca="false">IFERROR(IF(INDEX('Checkout Log'!$I:$I,SMALL($G$32:$G$232,ROW()-ROW($G$32)+1))=0,"",INDEX('Checkout Log'!$I:$I,SMALL($G$32:$G$232,ROW()-ROW($G$32)+1))),"")</f>
        <v/>
      </c>
      <c r="G75" s="1" t="str">
        <f aca="false">IF('Checkout Log'!$A46="","",IF('Checkout Log'!$L46="Returned","",ROW('Checkout Log'!$A46)))</f>
        <v/>
      </c>
    </row>
    <row r="76" customFormat="false" ht="15" hidden="false" customHeight="false" outlineLevel="0" collapsed="false">
      <c r="A76" s="11" t="str">
        <f aca="false">IFERROR(IF(INDEX('Checkout Log'!$A:$A,SMALL($G$32:$G$232,ROW()-ROW($G$32)+1))="","",INDEX('Checkout Log'!$A:$A,SMALL($G$32:$G$232,ROW()-ROW($G$32)+1))),"")</f>
        <v/>
      </c>
      <c r="B76" s="11" t="str">
        <f aca="false">IFERROR(IF(INDEX('Checkout Log'!$C:$C,SMALL($G$32:$G$232,ROW()-ROW($G$32)+1))="","",INDEX('Checkout Log'!$C:$C,SMALL($G$32:$G$232,ROW()-ROW($G$32)+1))),"")</f>
        <v/>
      </c>
      <c r="C76" s="11" t="str">
        <f aca="false">IFERROR(IF(INDEX('Checkout Log'!$D:$D,SMALL($G$32:$G$232,ROW()-ROW($G$32)+1))="","",INDEX('Checkout Log'!$D:$D,SMALL($G$32:$G$232,ROW()-ROW($G$32)+1))),"")</f>
        <v/>
      </c>
      <c r="D76" s="11" t="str">
        <f aca="false">IFERROR(IF(INDEX('Checkout Log'!$E:$E,SMALL($G$32:$G$232,ROW()-ROW($G$32)+1))="","",INDEX('Checkout Log'!$E:$E,SMALL($G$32:$G$232,ROW()-ROW($G$32)+1))),"")</f>
        <v/>
      </c>
      <c r="E76" s="12" t="str">
        <f aca="false">IFERROR(IF(INDEX('Checkout Log'!$H:$H,SMALL($G$32:$G$232,ROW()-ROW($G$32)+1))=0,"",INDEX('Checkout Log'!$H:$H,SMALL($G$32:$G$232,ROW()-ROW($G$32)+1))),"")</f>
        <v/>
      </c>
      <c r="F76" s="12" t="str">
        <f aca="false">IFERROR(IF(INDEX('Checkout Log'!$I:$I,SMALL($G$32:$G$232,ROW()-ROW($G$32)+1))=0,"",INDEX('Checkout Log'!$I:$I,SMALL($G$32:$G$232,ROW()-ROW($G$32)+1))),"")</f>
        <v/>
      </c>
      <c r="G76" s="1" t="str">
        <f aca="false">IF('Checkout Log'!$A47="","",IF('Checkout Log'!$L47="Returned","",ROW('Checkout Log'!$A47)))</f>
        <v/>
      </c>
    </row>
    <row r="77" customFormat="false" ht="15" hidden="false" customHeight="false" outlineLevel="0" collapsed="false">
      <c r="A77" s="13" t="str">
        <f aca="false">IFERROR(IF(INDEX('Checkout Log'!$A:$A,SMALL($G$32:$G$232,ROW()-ROW($G$32)+1))="","",INDEX('Checkout Log'!$A:$A,SMALL($G$32:$G$232,ROW()-ROW($G$32)+1))),"")</f>
        <v/>
      </c>
      <c r="B77" s="13" t="str">
        <f aca="false">IFERROR(IF(INDEX('Checkout Log'!$C:$C,SMALL($G$32:$G$232,ROW()-ROW($G$32)+1))="","",INDEX('Checkout Log'!$C:$C,SMALL($G$32:$G$232,ROW()-ROW($G$32)+1))),"")</f>
        <v/>
      </c>
      <c r="C77" s="13" t="str">
        <f aca="false">IFERROR(IF(INDEX('Checkout Log'!$D:$D,SMALL($G$32:$G$232,ROW()-ROW($G$32)+1))="","",INDEX('Checkout Log'!$D:$D,SMALL($G$32:$G$232,ROW()-ROW($G$32)+1))),"")</f>
        <v/>
      </c>
      <c r="D77" s="13" t="str">
        <f aca="false">IFERROR(IF(INDEX('Checkout Log'!$E:$E,SMALL($G$32:$G$232,ROW()-ROW($G$32)+1))="","",INDEX('Checkout Log'!$E:$E,SMALL($G$32:$G$232,ROW()-ROW($G$32)+1))),"")</f>
        <v/>
      </c>
      <c r="E77" s="14" t="str">
        <f aca="false">IFERROR(IF(INDEX('Checkout Log'!$H:$H,SMALL($G$32:$G$232,ROW()-ROW($G$32)+1))=0,"",INDEX('Checkout Log'!$H:$H,SMALL($G$32:$G$232,ROW()-ROW($G$32)+1))),"")</f>
        <v/>
      </c>
      <c r="F77" s="14" t="str">
        <f aca="false">IFERROR(IF(INDEX('Checkout Log'!$I:$I,SMALL($G$32:$G$232,ROW()-ROW($G$32)+1))=0,"",INDEX('Checkout Log'!$I:$I,SMALL($G$32:$G$232,ROW()-ROW($G$32)+1))),"")</f>
        <v/>
      </c>
      <c r="G77" s="1" t="str">
        <f aca="false">IF('Checkout Log'!$A48="","",IF('Checkout Log'!$L48="Returned","",ROW('Checkout Log'!$A48)))</f>
        <v/>
      </c>
    </row>
    <row r="78" customFormat="false" ht="15" hidden="false" customHeight="false" outlineLevel="0" collapsed="false">
      <c r="A78" s="11" t="str">
        <f aca="false">IFERROR(IF(INDEX('Checkout Log'!$A:$A,SMALL($G$32:$G$232,ROW()-ROW($G$32)+1))="","",INDEX('Checkout Log'!$A:$A,SMALL($G$32:$G$232,ROW()-ROW($G$32)+1))),"")</f>
        <v/>
      </c>
      <c r="B78" s="11" t="str">
        <f aca="false">IFERROR(IF(INDEX('Checkout Log'!$C:$C,SMALL($G$32:$G$232,ROW()-ROW($G$32)+1))="","",INDEX('Checkout Log'!$C:$C,SMALL($G$32:$G$232,ROW()-ROW($G$32)+1))),"")</f>
        <v/>
      </c>
      <c r="C78" s="11" t="str">
        <f aca="false">IFERROR(IF(INDEX('Checkout Log'!$D:$D,SMALL($G$32:$G$232,ROW()-ROW($G$32)+1))="","",INDEX('Checkout Log'!$D:$D,SMALL($G$32:$G$232,ROW()-ROW($G$32)+1))),"")</f>
        <v/>
      </c>
      <c r="D78" s="11" t="str">
        <f aca="false">IFERROR(IF(INDEX('Checkout Log'!$E:$E,SMALL($G$32:$G$232,ROW()-ROW($G$32)+1))="","",INDEX('Checkout Log'!$E:$E,SMALL($G$32:$G$232,ROW()-ROW($G$32)+1))),"")</f>
        <v/>
      </c>
      <c r="E78" s="12" t="str">
        <f aca="false">IFERROR(IF(INDEX('Checkout Log'!$H:$H,SMALL($G$32:$G$232,ROW()-ROW($G$32)+1))=0,"",INDEX('Checkout Log'!$H:$H,SMALL($G$32:$G$232,ROW()-ROW($G$32)+1))),"")</f>
        <v/>
      </c>
      <c r="F78" s="12" t="str">
        <f aca="false">IFERROR(IF(INDEX('Checkout Log'!$I:$I,SMALL($G$32:$G$232,ROW()-ROW($G$32)+1))=0,"",INDEX('Checkout Log'!$I:$I,SMALL($G$32:$G$232,ROW()-ROW($G$32)+1))),"")</f>
        <v/>
      </c>
      <c r="G78" s="1" t="str">
        <f aca="false">IF('Checkout Log'!$A49="","",IF('Checkout Log'!$L49="Returned","",ROW('Checkout Log'!$A49)))</f>
        <v/>
      </c>
    </row>
    <row r="79" customFormat="false" ht="15" hidden="false" customHeight="false" outlineLevel="0" collapsed="false">
      <c r="A79" s="13" t="str">
        <f aca="false">IFERROR(IF(INDEX('Checkout Log'!$A:$A,SMALL($G$32:$G$232,ROW()-ROW($G$32)+1))="","",INDEX('Checkout Log'!$A:$A,SMALL($G$32:$G$232,ROW()-ROW($G$32)+1))),"")</f>
        <v/>
      </c>
      <c r="B79" s="13" t="str">
        <f aca="false">IFERROR(IF(INDEX('Checkout Log'!$C:$C,SMALL($G$32:$G$232,ROW()-ROW($G$32)+1))="","",INDEX('Checkout Log'!$C:$C,SMALL($G$32:$G$232,ROW()-ROW($G$32)+1))),"")</f>
        <v/>
      </c>
      <c r="C79" s="13" t="str">
        <f aca="false">IFERROR(IF(INDEX('Checkout Log'!$D:$D,SMALL($G$32:$G$232,ROW()-ROW($G$32)+1))="","",INDEX('Checkout Log'!$D:$D,SMALL($G$32:$G$232,ROW()-ROW($G$32)+1))),"")</f>
        <v/>
      </c>
      <c r="D79" s="13" t="str">
        <f aca="false">IFERROR(IF(INDEX('Checkout Log'!$E:$E,SMALL($G$32:$G$232,ROW()-ROW($G$32)+1))="","",INDEX('Checkout Log'!$E:$E,SMALL($G$32:$G$232,ROW()-ROW($G$32)+1))),"")</f>
        <v/>
      </c>
      <c r="E79" s="14" t="str">
        <f aca="false">IFERROR(IF(INDEX('Checkout Log'!$H:$H,SMALL($G$32:$G$232,ROW()-ROW($G$32)+1))=0,"",INDEX('Checkout Log'!$H:$H,SMALL($G$32:$G$232,ROW()-ROW($G$32)+1))),"")</f>
        <v/>
      </c>
      <c r="F79" s="14" t="str">
        <f aca="false">IFERROR(IF(INDEX('Checkout Log'!$I:$I,SMALL($G$32:$G$232,ROW()-ROW($G$32)+1))=0,"",INDEX('Checkout Log'!$I:$I,SMALL($G$32:$G$232,ROW()-ROW($G$32)+1))),"")</f>
        <v/>
      </c>
      <c r="G79" s="1" t="str">
        <f aca="false">IF('Checkout Log'!$A50="","",IF('Checkout Log'!$L50="Returned","",ROW('Checkout Log'!$A50)))</f>
        <v/>
      </c>
    </row>
    <row r="80" customFormat="false" ht="15" hidden="false" customHeight="false" outlineLevel="0" collapsed="false">
      <c r="A80" s="11" t="str">
        <f aca="false">IFERROR(IF(INDEX('Checkout Log'!$A:$A,SMALL($G$32:$G$232,ROW()-ROW($G$32)+1))="","",INDEX('Checkout Log'!$A:$A,SMALL($G$32:$G$232,ROW()-ROW($G$32)+1))),"")</f>
        <v/>
      </c>
      <c r="B80" s="11" t="str">
        <f aca="false">IFERROR(IF(INDEX('Checkout Log'!$C:$C,SMALL($G$32:$G$232,ROW()-ROW($G$32)+1))="","",INDEX('Checkout Log'!$C:$C,SMALL($G$32:$G$232,ROW()-ROW($G$32)+1))),"")</f>
        <v/>
      </c>
      <c r="C80" s="11" t="str">
        <f aca="false">IFERROR(IF(INDEX('Checkout Log'!$D:$D,SMALL($G$32:$G$232,ROW()-ROW($G$32)+1))="","",INDEX('Checkout Log'!$D:$D,SMALL($G$32:$G$232,ROW()-ROW($G$32)+1))),"")</f>
        <v/>
      </c>
      <c r="D80" s="11" t="str">
        <f aca="false">IFERROR(IF(INDEX('Checkout Log'!$E:$E,SMALL($G$32:$G$232,ROW()-ROW($G$32)+1))="","",INDEX('Checkout Log'!$E:$E,SMALL($G$32:$G$232,ROW()-ROW($G$32)+1))),"")</f>
        <v/>
      </c>
      <c r="E80" s="12" t="str">
        <f aca="false">IFERROR(IF(INDEX('Checkout Log'!$H:$H,SMALL($G$32:$G$232,ROW()-ROW($G$32)+1))=0,"",INDEX('Checkout Log'!$H:$H,SMALL($G$32:$G$232,ROW()-ROW($G$32)+1))),"")</f>
        <v/>
      </c>
      <c r="F80" s="12" t="str">
        <f aca="false">IFERROR(IF(INDEX('Checkout Log'!$I:$I,SMALL($G$32:$G$232,ROW()-ROW($G$32)+1))=0,"",INDEX('Checkout Log'!$I:$I,SMALL($G$32:$G$232,ROW()-ROW($G$32)+1))),"")</f>
        <v/>
      </c>
      <c r="G80" s="1" t="str">
        <f aca="false">IF('Checkout Log'!$A51="","",IF('Checkout Log'!$L51="Returned","",ROW('Checkout Log'!$A51)))</f>
        <v/>
      </c>
    </row>
    <row r="81" customFormat="false" ht="15" hidden="false" customHeight="false" outlineLevel="0" collapsed="false">
      <c r="A81" s="13" t="str">
        <f aca="false">IFERROR(IF(INDEX('Checkout Log'!$A:$A,SMALL($G$32:$G$232,ROW()-ROW($G$32)+1))="","",INDEX('Checkout Log'!$A:$A,SMALL($G$32:$G$232,ROW()-ROW($G$32)+1))),"")</f>
        <v/>
      </c>
      <c r="B81" s="13" t="str">
        <f aca="false">IFERROR(IF(INDEX('Checkout Log'!$C:$C,SMALL($G$32:$G$232,ROW()-ROW($G$32)+1))="","",INDEX('Checkout Log'!$C:$C,SMALL($G$32:$G$232,ROW()-ROW($G$32)+1))),"")</f>
        <v/>
      </c>
      <c r="C81" s="13" t="str">
        <f aca="false">IFERROR(IF(INDEX('Checkout Log'!$D:$D,SMALL($G$32:$G$232,ROW()-ROW($G$32)+1))="","",INDEX('Checkout Log'!$D:$D,SMALL($G$32:$G$232,ROW()-ROW($G$32)+1))),"")</f>
        <v/>
      </c>
      <c r="D81" s="13" t="str">
        <f aca="false">IFERROR(IF(INDEX('Checkout Log'!$E:$E,SMALL($G$32:$G$232,ROW()-ROW($G$32)+1))="","",INDEX('Checkout Log'!$E:$E,SMALL($G$32:$G$232,ROW()-ROW($G$32)+1))),"")</f>
        <v/>
      </c>
      <c r="E81" s="14" t="str">
        <f aca="false">IFERROR(IF(INDEX('Checkout Log'!$H:$H,SMALL($G$32:$G$232,ROW()-ROW($G$32)+1))=0,"",INDEX('Checkout Log'!$H:$H,SMALL($G$32:$G$232,ROW()-ROW($G$32)+1))),"")</f>
        <v/>
      </c>
      <c r="F81" s="14" t="str">
        <f aca="false">IFERROR(IF(INDEX('Checkout Log'!$I:$I,SMALL($G$32:$G$232,ROW()-ROW($G$32)+1))=0,"",INDEX('Checkout Log'!$I:$I,SMALL($G$32:$G$232,ROW()-ROW($G$32)+1))),"")</f>
        <v/>
      </c>
      <c r="G81" s="1" t="str">
        <f aca="false">IF('Checkout Log'!$A52="","",IF('Checkout Log'!$L52="Returned","",ROW('Checkout Log'!$A52)))</f>
        <v/>
      </c>
    </row>
    <row r="82" customFormat="false" ht="15" hidden="false" customHeight="false" outlineLevel="0" collapsed="false">
      <c r="A82" s="11" t="str">
        <f aca="false">IFERROR(IF(INDEX('Checkout Log'!$A:$A,SMALL($G$32:$G$232,ROW()-ROW($G$32)+1))="","",INDEX('Checkout Log'!$A:$A,SMALL($G$32:$G$232,ROW()-ROW($G$32)+1))),"")</f>
        <v/>
      </c>
      <c r="B82" s="11" t="str">
        <f aca="false">IFERROR(IF(INDEX('Checkout Log'!$C:$C,SMALL($G$32:$G$232,ROW()-ROW($G$32)+1))="","",INDEX('Checkout Log'!$C:$C,SMALL($G$32:$G$232,ROW()-ROW($G$32)+1))),"")</f>
        <v/>
      </c>
      <c r="C82" s="11" t="str">
        <f aca="false">IFERROR(IF(INDEX('Checkout Log'!$D:$D,SMALL($G$32:$G$232,ROW()-ROW($G$32)+1))="","",INDEX('Checkout Log'!$D:$D,SMALL($G$32:$G$232,ROW()-ROW($G$32)+1))),"")</f>
        <v/>
      </c>
      <c r="D82" s="11" t="str">
        <f aca="false">IFERROR(IF(INDEX('Checkout Log'!$E:$E,SMALL($G$32:$G$232,ROW()-ROW($G$32)+1))="","",INDEX('Checkout Log'!$E:$E,SMALL($G$32:$G$232,ROW()-ROW($G$32)+1))),"")</f>
        <v/>
      </c>
      <c r="E82" s="12" t="str">
        <f aca="false">IFERROR(IF(INDEX('Checkout Log'!$H:$H,SMALL($G$32:$G$232,ROW()-ROW($G$32)+1))=0,"",INDEX('Checkout Log'!$H:$H,SMALL($G$32:$G$232,ROW()-ROW($G$32)+1))),"")</f>
        <v/>
      </c>
      <c r="F82" s="12" t="str">
        <f aca="false">IFERROR(IF(INDEX('Checkout Log'!$I:$I,SMALL($G$32:$G$232,ROW()-ROW($G$32)+1))=0,"",INDEX('Checkout Log'!$I:$I,SMALL($G$32:$G$232,ROW()-ROW($G$32)+1))),"")</f>
        <v/>
      </c>
      <c r="G82" s="1" t="str">
        <f aca="false">IF('Checkout Log'!$A53="","",IF('Checkout Log'!$L53="Returned","",ROW('Checkout Log'!$A53)))</f>
        <v/>
      </c>
    </row>
    <row r="83" customFormat="false" ht="15" hidden="false" customHeight="false" outlineLevel="0" collapsed="false">
      <c r="A83" s="13" t="str">
        <f aca="false">IFERROR(IF(INDEX('Checkout Log'!$A:$A,SMALL($G$32:$G$232,ROW()-ROW($G$32)+1))="","",INDEX('Checkout Log'!$A:$A,SMALL($G$32:$G$232,ROW()-ROW($G$32)+1))),"")</f>
        <v/>
      </c>
      <c r="B83" s="13" t="str">
        <f aca="false">IFERROR(IF(INDEX('Checkout Log'!$C:$C,SMALL($G$32:$G$232,ROW()-ROW($G$32)+1))="","",INDEX('Checkout Log'!$C:$C,SMALL($G$32:$G$232,ROW()-ROW($G$32)+1))),"")</f>
        <v/>
      </c>
      <c r="C83" s="13" t="str">
        <f aca="false">IFERROR(IF(INDEX('Checkout Log'!$D:$D,SMALL($G$32:$G$232,ROW()-ROW($G$32)+1))="","",INDEX('Checkout Log'!$D:$D,SMALL($G$32:$G$232,ROW()-ROW($G$32)+1))),"")</f>
        <v/>
      </c>
      <c r="D83" s="13" t="str">
        <f aca="false">IFERROR(IF(INDEX('Checkout Log'!$E:$E,SMALL($G$32:$G$232,ROW()-ROW($G$32)+1))="","",INDEX('Checkout Log'!$E:$E,SMALL($G$32:$G$232,ROW()-ROW($G$32)+1))),"")</f>
        <v/>
      </c>
      <c r="E83" s="14" t="str">
        <f aca="false">IFERROR(IF(INDEX('Checkout Log'!$H:$H,SMALL($G$32:$G$232,ROW()-ROW($G$32)+1))=0,"",INDEX('Checkout Log'!$H:$H,SMALL($G$32:$G$232,ROW()-ROW($G$32)+1))),"")</f>
        <v/>
      </c>
      <c r="F83" s="14" t="str">
        <f aca="false">IFERROR(IF(INDEX('Checkout Log'!$I:$I,SMALL($G$32:$G$232,ROW()-ROW($G$32)+1))=0,"",INDEX('Checkout Log'!$I:$I,SMALL($G$32:$G$232,ROW()-ROW($G$32)+1))),"")</f>
        <v/>
      </c>
      <c r="G83" s="1" t="str">
        <f aca="false">IF('Checkout Log'!$A54="","",IF('Checkout Log'!$L54="Returned","",ROW('Checkout Log'!$A54)))</f>
        <v/>
      </c>
    </row>
    <row r="84" customFormat="false" ht="15" hidden="false" customHeight="false" outlineLevel="0" collapsed="false">
      <c r="A84" s="11" t="str">
        <f aca="false">IFERROR(IF(INDEX('Checkout Log'!$A:$A,SMALL($G$32:$G$232,ROW()-ROW($G$32)+1))="","",INDEX('Checkout Log'!$A:$A,SMALL($G$32:$G$232,ROW()-ROW($G$32)+1))),"")</f>
        <v/>
      </c>
      <c r="B84" s="11" t="str">
        <f aca="false">IFERROR(IF(INDEX('Checkout Log'!$C:$C,SMALL($G$32:$G$232,ROW()-ROW($G$32)+1))="","",INDEX('Checkout Log'!$C:$C,SMALL($G$32:$G$232,ROW()-ROW($G$32)+1))),"")</f>
        <v/>
      </c>
      <c r="C84" s="11" t="str">
        <f aca="false">IFERROR(IF(INDEX('Checkout Log'!$D:$D,SMALL($G$32:$G$232,ROW()-ROW($G$32)+1))="","",INDEX('Checkout Log'!$D:$D,SMALL($G$32:$G$232,ROW()-ROW($G$32)+1))),"")</f>
        <v/>
      </c>
      <c r="D84" s="11" t="str">
        <f aca="false">IFERROR(IF(INDEX('Checkout Log'!$E:$E,SMALL($G$32:$G$232,ROW()-ROW($G$32)+1))="","",INDEX('Checkout Log'!$E:$E,SMALL($G$32:$G$232,ROW()-ROW($G$32)+1))),"")</f>
        <v/>
      </c>
      <c r="E84" s="12" t="str">
        <f aca="false">IFERROR(IF(INDEX('Checkout Log'!$H:$H,SMALL($G$32:$G$232,ROW()-ROW($G$32)+1))=0,"",INDEX('Checkout Log'!$H:$H,SMALL($G$32:$G$232,ROW()-ROW($G$32)+1))),"")</f>
        <v/>
      </c>
      <c r="F84" s="12" t="str">
        <f aca="false">IFERROR(IF(INDEX('Checkout Log'!$I:$I,SMALL($G$32:$G$232,ROW()-ROW($G$32)+1))=0,"",INDEX('Checkout Log'!$I:$I,SMALL($G$32:$G$232,ROW()-ROW($G$32)+1))),"")</f>
        <v/>
      </c>
      <c r="G84" s="1" t="str">
        <f aca="false">IF('Checkout Log'!$A55="","",IF('Checkout Log'!$L55="Returned","",ROW('Checkout Log'!$A55)))</f>
        <v/>
      </c>
    </row>
    <row r="85" customFormat="false" ht="15" hidden="false" customHeight="false" outlineLevel="0" collapsed="false">
      <c r="A85" s="13" t="str">
        <f aca="false">IFERROR(IF(INDEX('Checkout Log'!$A:$A,SMALL($G$32:$G$232,ROW()-ROW($G$32)+1))="","",INDEX('Checkout Log'!$A:$A,SMALL($G$32:$G$232,ROW()-ROW($G$32)+1))),"")</f>
        <v/>
      </c>
      <c r="B85" s="13" t="str">
        <f aca="false">IFERROR(IF(INDEX('Checkout Log'!$C:$C,SMALL($G$32:$G$232,ROW()-ROW($G$32)+1))="","",INDEX('Checkout Log'!$C:$C,SMALL($G$32:$G$232,ROW()-ROW($G$32)+1))),"")</f>
        <v/>
      </c>
      <c r="C85" s="13" t="str">
        <f aca="false">IFERROR(IF(INDEX('Checkout Log'!$D:$D,SMALL($G$32:$G$232,ROW()-ROW($G$32)+1))="","",INDEX('Checkout Log'!$D:$D,SMALL($G$32:$G$232,ROW()-ROW($G$32)+1))),"")</f>
        <v/>
      </c>
      <c r="D85" s="13" t="str">
        <f aca="false">IFERROR(IF(INDEX('Checkout Log'!$E:$E,SMALL($G$32:$G$232,ROW()-ROW($G$32)+1))="","",INDEX('Checkout Log'!$E:$E,SMALL($G$32:$G$232,ROW()-ROW($G$32)+1))),"")</f>
        <v/>
      </c>
      <c r="E85" s="14" t="str">
        <f aca="false">IFERROR(IF(INDEX('Checkout Log'!$H:$H,SMALL($G$32:$G$232,ROW()-ROW($G$32)+1))=0,"",INDEX('Checkout Log'!$H:$H,SMALL($G$32:$G$232,ROW()-ROW($G$32)+1))),"")</f>
        <v/>
      </c>
      <c r="F85" s="14" t="str">
        <f aca="false">IFERROR(IF(INDEX('Checkout Log'!$I:$I,SMALL($G$32:$G$232,ROW()-ROW($G$32)+1))=0,"",INDEX('Checkout Log'!$I:$I,SMALL($G$32:$G$232,ROW()-ROW($G$32)+1))),"")</f>
        <v/>
      </c>
      <c r="G85" s="1" t="str">
        <f aca="false">IF('Checkout Log'!$A56="","",IF('Checkout Log'!$L56="Returned","",ROW('Checkout Log'!$A56)))</f>
        <v/>
      </c>
    </row>
    <row r="86" customFormat="false" ht="15" hidden="false" customHeight="false" outlineLevel="0" collapsed="false">
      <c r="A86" s="11" t="str">
        <f aca="false">IFERROR(IF(INDEX('Checkout Log'!$A:$A,SMALL($G$32:$G$232,ROW()-ROW($G$32)+1))="","",INDEX('Checkout Log'!$A:$A,SMALL($G$32:$G$232,ROW()-ROW($G$32)+1))),"")</f>
        <v/>
      </c>
      <c r="B86" s="11" t="str">
        <f aca="false">IFERROR(IF(INDEX('Checkout Log'!$C:$C,SMALL($G$32:$G$232,ROW()-ROW($G$32)+1))="","",INDEX('Checkout Log'!$C:$C,SMALL($G$32:$G$232,ROW()-ROW($G$32)+1))),"")</f>
        <v/>
      </c>
      <c r="C86" s="11" t="str">
        <f aca="false">IFERROR(IF(INDEX('Checkout Log'!$D:$D,SMALL($G$32:$G$232,ROW()-ROW($G$32)+1))="","",INDEX('Checkout Log'!$D:$D,SMALL($G$32:$G$232,ROW()-ROW($G$32)+1))),"")</f>
        <v/>
      </c>
      <c r="D86" s="11" t="str">
        <f aca="false">IFERROR(IF(INDEX('Checkout Log'!$E:$E,SMALL($G$32:$G$232,ROW()-ROW($G$32)+1))="","",INDEX('Checkout Log'!$E:$E,SMALL($G$32:$G$232,ROW()-ROW($G$32)+1))),"")</f>
        <v/>
      </c>
      <c r="E86" s="12" t="str">
        <f aca="false">IFERROR(IF(INDEX('Checkout Log'!$H:$H,SMALL($G$32:$G$232,ROW()-ROW($G$32)+1))=0,"",INDEX('Checkout Log'!$H:$H,SMALL($G$32:$G$232,ROW()-ROW($G$32)+1))),"")</f>
        <v/>
      </c>
      <c r="F86" s="12" t="str">
        <f aca="false">IFERROR(IF(INDEX('Checkout Log'!$I:$I,SMALL($G$32:$G$232,ROW()-ROW($G$32)+1))=0,"",INDEX('Checkout Log'!$I:$I,SMALL($G$32:$G$232,ROW()-ROW($G$32)+1))),"")</f>
        <v/>
      </c>
      <c r="G86" s="1" t="str">
        <f aca="false">IF('Checkout Log'!$A57="","",IF('Checkout Log'!$L57="Returned","",ROW('Checkout Log'!$A57)))</f>
        <v/>
      </c>
    </row>
    <row r="87" customFormat="false" ht="15" hidden="false" customHeight="false" outlineLevel="0" collapsed="false">
      <c r="A87" s="13" t="str">
        <f aca="false">IFERROR(IF(INDEX('Checkout Log'!$A:$A,SMALL($G$32:$G$232,ROW()-ROW($G$32)+1))="","",INDEX('Checkout Log'!$A:$A,SMALL($G$32:$G$232,ROW()-ROW($G$32)+1))),"")</f>
        <v/>
      </c>
      <c r="B87" s="13" t="str">
        <f aca="false">IFERROR(IF(INDEX('Checkout Log'!$C:$C,SMALL($G$32:$G$232,ROW()-ROW($G$32)+1))="","",INDEX('Checkout Log'!$C:$C,SMALL($G$32:$G$232,ROW()-ROW($G$32)+1))),"")</f>
        <v/>
      </c>
      <c r="C87" s="13" t="str">
        <f aca="false">IFERROR(IF(INDEX('Checkout Log'!$D:$D,SMALL($G$32:$G$232,ROW()-ROW($G$32)+1))="","",INDEX('Checkout Log'!$D:$D,SMALL($G$32:$G$232,ROW()-ROW($G$32)+1))),"")</f>
        <v/>
      </c>
      <c r="D87" s="13" t="str">
        <f aca="false">IFERROR(IF(INDEX('Checkout Log'!$E:$E,SMALL($G$32:$G$232,ROW()-ROW($G$32)+1))="","",INDEX('Checkout Log'!$E:$E,SMALL($G$32:$G$232,ROW()-ROW($G$32)+1))),"")</f>
        <v/>
      </c>
      <c r="E87" s="14" t="str">
        <f aca="false">IFERROR(IF(INDEX('Checkout Log'!$H:$H,SMALL($G$32:$G$232,ROW()-ROW($G$32)+1))=0,"",INDEX('Checkout Log'!$H:$H,SMALL($G$32:$G$232,ROW()-ROW($G$32)+1))),"")</f>
        <v/>
      </c>
      <c r="F87" s="14" t="str">
        <f aca="false">IFERROR(IF(INDEX('Checkout Log'!$I:$I,SMALL($G$32:$G$232,ROW()-ROW($G$32)+1))=0,"",INDEX('Checkout Log'!$I:$I,SMALL($G$32:$G$232,ROW()-ROW($G$32)+1))),"")</f>
        <v/>
      </c>
      <c r="G87" s="1" t="str">
        <f aca="false">IF('Checkout Log'!$A58="","",IF('Checkout Log'!$L58="Returned","",ROW('Checkout Log'!$A58)))</f>
        <v/>
      </c>
    </row>
    <row r="88" customFormat="false" ht="15" hidden="false" customHeight="false" outlineLevel="0" collapsed="false">
      <c r="A88" s="11" t="str">
        <f aca="false">IFERROR(IF(INDEX('Checkout Log'!$A:$A,SMALL($G$32:$G$232,ROW()-ROW($G$32)+1))="","",INDEX('Checkout Log'!$A:$A,SMALL($G$32:$G$232,ROW()-ROW($G$32)+1))),"")</f>
        <v/>
      </c>
      <c r="B88" s="11" t="str">
        <f aca="false">IFERROR(IF(INDEX('Checkout Log'!$C:$C,SMALL($G$32:$G$232,ROW()-ROW($G$32)+1))="","",INDEX('Checkout Log'!$C:$C,SMALL($G$32:$G$232,ROW()-ROW($G$32)+1))),"")</f>
        <v/>
      </c>
      <c r="C88" s="11" t="str">
        <f aca="false">IFERROR(IF(INDEX('Checkout Log'!$D:$D,SMALL($G$32:$G$232,ROW()-ROW($G$32)+1))="","",INDEX('Checkout Log'!$D:$D,SMALL($G$32:$G$232,ROW()-ROW($G$32)+1))),"")</f>
        <v/>
      </c>
      <c r="D88" s="11" t="str">
        <f aca="false">IFERROR(IF(INDEX('Checkout Log'!$E:$E,SMALL($G$32:$G$232,ROW()-ROW($G$32)+1))="","",INDEX('Checkout Log'!$E:$E,SMALL($G$32:$G$232,ROW()-ROW($G$32)+1))),"")</f>
        <v/>
      </c>
      <c r="E88" s="12" t="str">
        <f aca="false">IFERROR(IF(INDEX('Checkout Log'!$H:$H,SMALL($G$32:$G$232,ROW()-ROW($G$32)+1))=0,"",INDEX('Checkout Log'!$H:$H,SMALL($G$32:$G$232,ROW()-ROW($G$32)+1))),"")</f>
        <v/>
      </c>
      <c r="F88" s="12" t="str">
        <f aca="false">IFERROR(IF(INDEX('Checkout Log'!$I:$I,SMALL($G$32:$G$232,ROW()-ROW($G$32)+1))=0,"",INDEX('Checkout Log'!$I:$I,SMALL($G$32:$G$232,ROW()-ROW($G$32)+1))),"")</f>
        <v/>
      </c>
      <c r="G88" s="1" t="str">
        <f aca="false">IF('Checkout Log'!$A59="","",IF('Checkout Log'!$L59="Returned","",ROW('Checkout Log'!$A59)))</f>
        <v/>
      </c>
    </row>
    <row r="89" customFormat="false" ht="15" hidden="false" customHeight="false" outlineLevel="0" collapsed="false">
      <c r="A89" s="13" t="str">
        <f aca="false">IFERROR(IF(INDEX('Checkout Log'!$A:$A,SMALL($G$32:$G$232,ROW()-ROW($G$32)+1))="","",INDEX('Checkout Log'!$A:$A,SMALL($G$32:$G$232,ROW()-ROW($G$32)+1))),"")</f>
        <v/>
      </c>
      <c r="B89" s="13" t="str">
        <f aca="false">IFERROR(IF(INDEX('Checkout Log'!$C:$C,SMALL($G$32:$G$232,ROW()-ROW($G$32)+1))="","",INDEX('Checkout Log'!$C:$C,SMALL($G$32:$G$232,ROW()-ROW($G$32)+1))),"")</f>
        <v/>
      </c>
      <c r="C89" s="13" t="str">
        <f aca="false">IFERROR(IF(INDEX('Checkout Log'!$D:$D,SMALL($G$32:$G$232,ROW()-ROW($G$32)+1))="","",INDEX('Checkout Log'!$D:$D,SMALL($G$32:$G$232,ROW()-ROW($G$32)+1))),"")</f>
        <v/>
      </c>
      <c r="D89" s="13" t="str">
        <f aca="false">IFERROR(IF(INDEX('Checkout Log'!$E:$E,SMALL($G$32:$G$232,ROW()-ROW($G$32)+1))="","",INDEX('Checkout Log'!$E:$E,SMALL($G$32:$G$232,ROW()-ROW($G$32)+1))),"")</f>
        <v/>
      </c>
      <c r="E89" s="14" t="str">
        <f aca="false">IFERROR(IF(INDEX('Checkout Log'!$H:$H,SMALL($G$32:$G$232,ROW()-ROW($G$32)+1))=0,"",INDEX('Checkout Log'!$H:$H,SMALL($G$32:$G$232,ROW()-ROW($G$32)+1))),"")</f>
        <v/>
      </c>
      <c r="F89" s="14" t="str">
        <f aca="false">IFERROR(IF(INDEX('Checkout Log'!$I:$I,SMALL($G$32:$G$232,ROW()-ROW($G$32)+1))=0,"",INDEX('Checkout Log'!$I:$I,SMALL($G$32:$G$232,ROW()-ROW($G$32)+1))),"")</f>
        <v/>
      </c>
      <c r="G89" s="1" t="str">
        <f aca="false">IF('Checkout Log'!$A60="","",IF('Checkout Log'!$L60="Returned","",ROW('Checkout Log'!$A60)))</f>
        <v/>
      </c>
    </row>
    <row r="90" customFormat="false" ht="15" hidden="false" customHeight="false" outlineLevel="0" collapsed="false">
      <c r="A90" s="11" t="str">
        <f aca="false">IFERROR(IF(INDEX('Checkout Log'!$A:$A,SMALL($G$32:$G$232,ROW()-ROW($G$32)+1))="","",INDEX('Checkout Log'!$A:$A,SMALL($G$32:$G$232,ROW()-ROW($G$32)+1))),"")</f>
        <v/>
      </c>
      <c r="B90" s="11" t="str">
        <f aca="false">IFERROR(IF(INDEX('Checkout Log'!$C:$C,SMALL($G$32:$G$232,ROW()-ROW($G$32)+1))="","",INDEX('Checkout Log'!$C:$C,SMALL($G$32:$G$232,ROW()-ROW($G$32)+1))),"")</f>
        <v/>
      </c>
      <c r="C90" s="11" t="str">
        <f aca="false">IFERROR(IF(INDEX('Checkout Log'!$D:$D,SMALL($G$32:$G$232,ROW()-ROW($G$32)+1))="","",INDEX('Checkout Log'!$D:$D,SMALL($G$32:$G$232,ROW()-ROW($G$32)+1))),"")</f>
        <v/>
      </c>
      <c r="D90" s="11" t="str">
        <f aca="false">IFERROR(IF(INDEX('Checkout Log'!$E:$E,SMALL($G$32:$G$232,ROW()-ROW($G$32)+1))="","",INDEX('Checkout Log'!$E:$E,SMALL($G$32:$G$232,ROW()-ROW($G$32)+1))),"")</f>
        <v/>
      </c>
      <c r="E90" s="12" t="str">
        <f aca="false">IFERROR(IF(INDEX('Checkout Log'!$H:$H,SMALL($G$32:$G$232,ROW()-ROW($G$32)+1))=0,"",INDEX('Checkout Log'!$H:$H,SMALL($G$32:$G$232,ROW()-ROW($G$32)+1))),"")</f>
        <v/>
      </c>
      <c r="F90" s="12" t="str">
        <f aca="false">IFERROR(IF(INDEX('Checkout Log'!$I:$I,SMALL($G$32:$G$232,ROW()-ROW($G$32)+1))=0,"",INDEX('Checkout Log'!$I:$I,SMALL($G$32:$G$232,ROW()-ROW($G$32)+1))),"")</f>
        <v/>
      </c>
      <c r="G90" s="1" t="str">
        <f aca="false">IF('Checkout Log'!$A61="","",IF('Checkout Log'!$L61="Returned","",ROW('Checkout Log'!$A61)))</f>
        <v/>
      </c>
    </row>
    <row r="91" customFormat="false" ht="15" hidden="false" customHeight="false" outlineLevel="0" collapsed="false">
      <c r="A91" s="13" t="str">
        <f aca="false">IFERROR(IF(INDEX('Checkout Log'!$A:$A,SMALL($G$32:$G$232,ROW()-ROW($G$32)+1))="","",INDEX('Checkout Log'!$A:$A,SMALL($G$32:$G$232,ROW()-ROW($G$32)+1))),"")</f>
        <v/>
      </c>
      <c r="B91" s="13" t="str">
        <f aca="false">IFERROR(IF(INDEX('Checkout Log'!$C:$C,SMALL($G$32:$G$232,ROW()-ROW($G$32)+1))="","",INDEX('Checkout Log'!$C:$C,SMALL($G$32:$G$232,ROW()-ROW($G$32)+1))),"")</f>
        <v/>
      </c>
      <c r="C91" s="13" t="str">
        <f aca="false">IFERROR(IF(INDEX('Checkout Log'!$D:$D,SMALL($G$32:$G$232,ROW()-ROW($G$32)+1))="","",INDEX('Checkout Log'!$D:$D,SMALL($G$32:$G$232,ROW()-ROW($G$32)+1))),"")</f>
        <v/>
      </c>
      <c r="D91" s="13" t="str">
        <f aca="false">IFERROR(IF(INDEX('Checkout Log'!$E:$E,SMALL($G$32:$G$232,ROW()-ROW($G$32)+1))="","",INDEX('Checkout Log'!$E:$E,SMALL($G$32:$G$232,ROW()-ROW($G$32)+1))),"")</f>
        <v/>
      </c>
      <c r="E91" s="14" t="str">
        <f aca="false">IFERROR(IF(INDEX('Checkout Log'!$H:$H,SMALL($G$32:$G$232,ROW()-ROW($G$32)+1))=0,"",INDEX('Checkout Log'!$H:$H,SMALL($G$32:$G$232,ROW()-ROW($G$32)+1))),"")</f>
        <v/>
      </c>
      <c r="F91" s="14" t="str">
        <f aca="false">IFERROR(IF(INDEX('Checkout Log'!$I:$I,SMALL($G$32:$G$232,ROW()-ROW($G$32)+1))=0,"",INDEX('Checkout Log'!$I:$I,SMALL($G$32:$G$232,ROW()-ROW($G$32)+1))),"")</f>
        <v/>
      </c>
      <c r="G91" s="1" t="str">
        <f aca="false">IF('Checkout Log'!$A62="","",IF('Checkout Log'!$L62="Returned","",ROW('Checkout Log'!$A62)))</f>
        <v/>
      </c>
    </row>
    <row r="92" customFormat="false" ht="15" hidden="false" customHeight="false" outlineLevel="0" collapsed="false">
      <c r="A92" s="11" t="str">
        <f aca="false">IFERROR(IF(INDEX('Checkout Log'!$A:$A,SMALL($G$32:$G$232,ROW()-ROW($G$32)+1))="","",INDEX('Checkout Log'!$A:$A,SMALL($G$32:$G$232,ROW()-ROW($G$32)+1))),"")</f>
        <v/>
      </c>
      <c r="B92" s="11" t="str">
        <f aca="false">IFERROR(IF(INDEX('Checkout Log'!$C:$C,SMALL($G$32:$G$232,ROW()-ROW($G$32)+1))="","",INDEX('Checkout Log'!$C:$C,SMALL($G$32:$G$232,ROW()-ROW($G$32)+1))),"")</f>
        <v/>
      </c>
      <c r="C92" s="11" t="str">
        <f aca="false">IFERROR(IF(INDEX('Checkout Log'!$D:$D,SMALL($G$32:$G$232,ROW()-ROW($G$32)+1))="","",INDEX('Checkout Log'!$D:$D,SMALL($G$32:$G$232,ROW()-ROW($G$32)+1))),"")</f>
        <v/>
      </c>
      <c r="D92" s="11" t="str">
        <f aca="false">IFERROR(IF(INDEX('Checkout Log'!$E:$E,SMALL($G$32:$G$232,ROW()-ROW($G$32)+1))="","",INDEX('Checkout Log'!$E:$E,SMALL($G$32:$G$232,ROW()-ROW($G$32)+1))),"")</f>
        <v/>
      </c>
      <c r="E92" s="12" t="str">
        <f aca="false">IFERROR(IF(INDEX('Checkout Log'!$H:$H,SMALL($G$32:$G$232,ROW()-ROW($G$32)+1))=0,"",INDEX('Checkout Log'!$H:$H,SMALL($G$32:$G$232,ROW()-ROW($G$32)+1))),"")</f>
        <v/>
      </c>
      <c r="F92" s="12" t="str">
        <f aca="false">IFERROR(IF(INDEX('Checkout Log'!$I:$I,SMALL($G$32:$G$232,ROW()-ROW($G$32)+1))=0,"",INDEX('Checkout Log'!$I:$I,SMALL($G$32:$G$232,ROW()-ROW($G$32)+1))),"")</f>
        <v/>
      </c>
      <c r="G92" s="1" t="str">
        <f aca="false">IF('Checkout Log'!$A63="","",IF('Checkout Log'!$L63="Returned","",ROW('Checkout Log'!$A63)))</f>
        <v/>
      </c>
    </row>
    <row r="93" customFormat="false" ht="15" hidden="false" customHeight="false" outlineLevel="0" collapsed="false">
      <c r="A93" s="13" t="str">
        <f aca="false">IFERROR(IF(INDEX('Checkout Log'!$A:$A,SMALL($G$32:$G$232,ROW()-ROW($G$32)+1))="","",INDEX('Checkout Log'!$A:$A,SMALL($G$32:$G$232,ROW()-ROW($G$32)+1))),"")</f>
        <v/>
      </c>
      <c r="B93" s="13" t="str">
        <f aca="false">IFERROR(IF(INDEX('Checkout Log'!$C:$C,SMALL($G$32:$G$232,ROW()-ROW($G$32)+1))="","",INDEX('Checkout Log'!$C:$C,SMALL($G$32:$G$232,ROW()-ROW($G$32)+1))),"")</f>
        <v/>
      </c>
      <c r="C93" s="13" t="str">
        <f aca="false">IFERROR(IF(INDEX('Checkout Log'!$D:$D,SMALL($G$32:$G$232,ROW()-ROW($G$32)+1))="","",INDEX('Checkout Log'!$D:$D,SMALL($G$32:$G$232,ROW()-ROW($G$32)+1))),"")</f>
        <v/>
      </c>
      <c r="D93" s="13" t="str">
        <f aca="false">IFERROR(IF(INDEX('Checkout Log'!$E:$E,SMALL($G$32:$G$232,ROW()-ROW($G$32)+1))="","",INDEX('Checkout Log'!$E:$E,SMALL($G$32:$G$232,ROW()-ROW($G$32)+1))),"")</f>
        <v/>
      </c>
      <c r="E93" s="14" t="str">
        <f aca="false">IFERROR(IF(INDEX('Checkout Log'!$H:$H,SMALL($G$32:$G$232,ROW()-ROW($G$32)+1))=0,"",INDEX('Checkout Log'!$H:$H,SMALL($G$32:$G$232,ROW()-ROW($G$32)+1))),"")</f>
        <v/>
      </c>
      <c r="F93" s="14" t="str">
        <f aca="false">IFERROR(IF(INDEX('Checkout Log'!$I:$I,SMALL($G$32:$G$232,ROW()-ROW($G$32)+1))=0,"",INDEX('Checkout Log'!$I:$I,SMALL($G$32:$G$232,ROW()-ROW($G$32)+1))),"")</f>
        <v/>
      </c>
      <c r="G93" s="1" t="str">
        <f aca="false">IF('Checkout Log'!$A64="","",IF('Checkout Log'!$L64="Returned","",ROW('Checkout Log'!$A64)))</f>
        <v/>
      </c>
    </row>
    <row r="94" customFormat="false" ht="15" hidden="false" customHeight="false" outlineLevel="0" collapsed="false">
      <c r="A94" s="11" t="str">
        <f aca="false">IFERROR(IF(INDEX('Checkout Log'!$A:$A,SMALL($G$32:$G$232,ROW()-ROW($G$32)+1))="","",INDEX('Checkout Log'!$A:$A,SMALL($G$32:$G$232,ROW()-ROW($G$32)+1))),"")</f>
        <v/>
      </c>
      <c r="B94" s="11" t="str">
        <f aca="false">IFERROR(IF(INDEX('Checkout Log'!$C:$C,SMALL($G$32:$G$232,ROW()-ROW($G$32)+1))="","",INDEX('Checkout Log'!$C:$C,SMALL($G$32:$G$232,ROW()-ROW($G$32)+1))),"")</f>
        <v/>
      </c>
      <c r="C94" s="11" t="str">
        <f aca="false">IFERROR(IF(INDEX('Checkout Log'!$D:$D,SMALL($G$32:$G$232,ROW()-ROW($G$32)+1))="","",INDEX('Checkout Log'!$D:$D,SMALL($G$32:$G$232,ROW()-ROW($G$32)+1))),"")</f>
        <v/>
      </c>
      <c r="D94" s="11" t="str">
        <f aca="false">IFERROR(IF(INDEX('Checkout Log'!$E:$E,SMALL($G$32:$G$232,ROW()-ROW($G$32)+1))="","",INDEX('Checkout Log'!$E:$E,SMALL($G$32:$G$232,ROW()-ROW($G$32)+1))),"")</f>
        <v/>
      </c>
      <c r="E94" s="12" t="str">
        <f aca="false">IFERROR(IF(INDEX('Checkout Log'!$H:$H,SMALL($G$32:$G$232,ROW()-ROW($G$32)+1))=0,"",INDEX('Checkout Log'!$H:$H,SMALL($G$32:$G$232,ROW()-ROW($G$32)+1))),"")</f>
        <v/>
      </c>
      <c r="F94" s="12" t="str">
        <f aca="false">IFERROR(IF(INDEX('Checkout Log'!$I:$I,SMALL($G$32:$G$232,ROW()-ROW($G$32)+1))=0,"",INDEX('Checkout Log'!$I:$I,SMALL($G$32:$G$232,ROW()-ROW($G$32)+1))),"")</f>
        <v/>
      </c>
      <c r="G94" s="1" t="str">
        <f aca="false">IF('Checkout Log'!$A65="","",IF('Checkout Log'!$L65="Returned","",ROW('Checkout Log'!$A65)))</f>
        <v/>
      </c>
    </row>
    <row r="95" customFormat="false" ht="15" hidden="false" customHeight="false" outlineLevel="0" collapsed="false">
      <c r="A95" s="13" t="str">
        <f aca="false">IFERROR(IF(INDEX('Checkout Log'!$A:$A,SMALL($G$32:$G$232,ROW()-ROW($G$32)+1))="","",INDEX('Checkout Log'!$A:$A,SMALL($G$32:$G$232,ROW()-ROW($G$32)+1))),"")</f>
        <v/>
      </c>
      <c r="B95" s="13" t="str">
        <f aca="false">IFERROR(IF(INDEX('Checkout Log'!$C:$C,SMALL($G$32:$G$232,ROW()-ROW($G$32)+1))="","",INDEX('Checkout Log'!$C:$C,SMALL($G$32:$G$232,ROW()-ROW($G$32)+1))),"")</f>
        <v/>
      </c>
      <c r="C95" s="13" t="str">
        <f aca="false">IFERROR(IF(INDEX('Checkout Log'!$D:$D,SMALL($G$32:$G$232,ROW()-ROW($G$32)+1))="","",INDEX('Checkout Log'!$D:$D,SMALL($G$32:$G$232,ROW()-ROW($G$32)+1))),"")</f>
        <v/>
      </c>
      <c r="D95" s="13" t="str">
        <f aca="false">IFERROR(IF(INDEX('Checkout Log'!$E:$E,SMALL($G$32:$G$232,ROW()-ROW($G$32)+1))="","",INDEX('Checkout Log'!$E:$E,SMALL($G$32:$G$232,ROW()-ROW($G$32)+1))),"")</f>
        <v/>
      </c>
      <c r="E95" s="14" t="str">
        <f aca="false">IFERROR(IF(INDEX('Checkout Log'!$H:$H,SMALL($G$32:$G$232,ROW()-ROW($G$32)+1))=0,"",INDEX('Checkout Log'!$H:$H,SMALL($G$32:$G$232,ROW()-ROW($G$32)+1))),"")</f>
        <v/>
      </c>
      <c r="F95" s="14" t="str">
        <f aca="false">IFERROR(IF(INDEX('Checkout Log'!$I:$I,SMALL($G$32:$G$232,ROW()-ROW($G$32)+1))=0,"",INDEX('Checkout Log'!$I:$I,SMALL($G$32:$G$232,ROW()-ROW($G$32)+1))),"")</f>
        <v/>
      </c>
      <c r="G95" s="1" t="str">
        <f aca="false">IF('Checkout Log'!$A66="","",IF('Checkout Log'!$L66="Returned","",ROW('Checkout Log'!$A66)))</f>
        <v/>
      </c>
    </row>
    <row r="96" customFormat="false" ht="15" hidden="false" customHeight="false" outlineLevel="0" collapsed="false">
      <c r="A96" s="11" t="str">
        <f aca="false">IFERROR(IF(INDEX('Checkout Log'!$A:$A,SMALL($G$32:$G$232,ROW()-ROW($G$32)+1))="","",INDEX('Checkout Log'!$A:$A,SMALL($G$32:$G$232,ROW()-ROW($G$32)+1))),"")</f>
        <v/>
      </c>
      <c r="B96" s="11" t="str">
        <f aca="false">IFERROR(IF(INDEX('Checkout Log'!$C:$C,SMALL($G$32:$G$232,ROW()-ROW($G$32)+1))="","",INDEX('Checkout Log'!$C:$C,SMALL($G$32:$G$232,ROW()-ROW($G$32)+1))),"")</f>
        <v/>
      </c>
      <c r="C96" s="11" t="str">
        <f aca="false">IFERROR(IF(INDEX('Checkout Log'!$D:$D,SMALL($G$32:$G$232,ROW()-ROW($G$32)+1))="","",INDEX('Checkout Log'!$D:$D,SMALL($G$32:$G$232,ROW()-ROW($G$32)+1))),"")</f>
        <v/>
      </c>
      <c r="D96" s="11" t="str">
        <f aca="false">IFERROR(IF(INDEX('Checkout Log'!$E:$E,SMALL($G$32:$G$232,ROW()-ROW($G$32)+1))="","",INDEX('Checkout Log'!$E:$E,SMALL($G$32:$G$232,ROW()-ROW($G$32)+1))),"")</f>
        <v/>
      </c>
      <c r="E96" s="12" t="str">
        <f aca="false">IFERROR(IF(INDEX('Checkout Log'!$H:$H,SMALL($G$32:$G$232,ROW()-ROW($G$32)+1))=0,"",INDEX('Checkout Log'!$H:$H,SMALL($G$32:$G$232,ROW()-ROW($G$32)+1))),"")</f>
        <v/>
      </c>
      <c r="F96" s="12" t="str">
        <f aca="false">IFERROR(IF(INDEX('Checkout Log'!$I:$I,SMALL($G$32:$G$232,ROW()-ROW($G$32)+1))=0,"",INDEX('Checkout Log'!$I:$I,SMALL($G$32:$G$232,ROW()-ROW($G$32)+1))),"")</f>
        <v/>
      </c>
      <c r="G96" s="1" t="str">
        <f aca="false">IF('Checkout Log'!$A67="","",IF('Checkout Log'!$L67="Returned","",ROW('Checkout Log'!$A67)))</f>
        <v/>
      </c>
    </row>
    <row r="97" customFormat="false" ht="15" hidden="false" customHeight="false" outlineLevel="0" collapsed="false">
      <c r="A97" s="13" t="str">
        <f aca="false">IFERROR(IF(INDEX('Checkout Log'!$A:$A,SMALL($G$32:$G$232,ROW()-ROW($G$32)+1))="","",INDEX('Checkout Log'!$A:$A,SMALL($G$32:$G$232,ROW()-ROW($G$32)+1))),"")</f>
        <v/>
      </c>
      <c r="B97" s="13" t="str">
        <f aca="false">IFERROR(IF(INDEX('Checkout Log'!$C:$C,SMALL($G$32:$G$232,ROW()-ROW($G$32)+1))="","",INDEX('Checkout Log'!$C:$C,SMALL($G$32:$G$232,ROW()-ROW($G$32)+1))),"")</f>
        <v/>
      </c>
      <c r="C97" s="13" t="str">
        <f aca="false">IFERROR(IF(INDEX('Checkout Log'!$D:$D,SMALL($G$32:$G$232,ROW()-ROW($G$32)+1))="","",INDEX('Checkout Log'!$D:$D,SMALL($G$32:$G$232,ROW()-ROW($G$32)+1))),"")</f>
        <v/>
      </c>
      <c r="D97" s="13" t="str">
        <f aca="false">IFERROR(IF(INDEX('Checkout Log'!$E:$E,SMALL($G$32:$G$232,ROW()-ROW($G$32)+1))="","",INDEX('Checkout Log'!$E:$E,SMALL($G$32:$G$232,ROW()-ROW($G$32)+1))),"")</f>
        <v/>
      </c>
      <c r="E97" s="14" t="str">
        <f aca="false">IFERROR(IF(INDEX('Checkout Log'!$H:$H,SMALL($G$32:$G$232,ROW()-ROW($G$32)+1))=0,"",INDEX('Checkout Log'!$H:$H,SMALL($G$32:$G$232,ROW()-ROW($G$32)+1))),"")</f>
        <v/>
      </c>
      <c r="F97" s="14" t="str">
        <f aca="false">IFERROR(IF(INDEX('Checkout Log'!$I:$I,SMALL($G$32:$G$232,ROW()-ROW($G$32)+1))=0,"",INDEX('Checkout Log'!$I:$I,SMALL($G$32:$G$232,ROW()-ROW($G$32)+1))),"")</f>
        <v/>
      </c>
      <c r="G97" s="1" t="str">
        <f aca="false">IF('Checkout Log'!$A68="","",IF('Checkout Log'!$L68="Returned","",ROW('Checkout Log'!$A68)))</f>
        <v/>
      </c>
    </row>
    <row r="98" customFormat="false" ht="15" hidden="false" customHeight="false" outlineLevel="0" collapsed="false">
      <c r="A98" s="11" t="str">
        <f aca="false">IFERROR(IF(INDEX('Checkout Log'!$A:$A,SMALL($G$32:$G$232,ROW()-ROW($G$32)+1))="","",INDEX('Checkout Log'!$A:$A,SMALL($G$32:$G$232,ROW()-ROW($G$32)+1))),"")</f>
        <v/>
      </c>
      <c r="B98" s="11" t="str">
        <f aca="false">IFERROR(IF(INDEX('Checkout Log'!$C:$C,SMALL($G$32:$G$232,ROW()-ROW($G$32)+1))="","",INDEX('Checkout Log'!$C:$C,SMALL($G$32:$G$232,ROW()-ROW($G$32)+1))),"")</f>
        <v/>
      </c>
      <c r="C98" s="11" t="str">
        <f aca="false">IFERROR(IF(INDEX('Checkout Log'!$D:$D,SMALL($G$32:$G$232,ROW()-ROW($G$32)+1))="","",INDEX('Checkout Log'!$D:$D,SMALL($G$32:$G$232,ROW()-ROW($G$32)+1))),"")</f>
        <v/>
      </c>
      <c r="D98" s="11" t="str">
        <f aca="false">IFERROR(IF(INDEX('Checkout Log'!$E:$E,SMALL($G$32:$G$232,ROW()-ROW($G$32)+1))="","",INDEX('Checkout Log'!$E:$E,SMALL($G$32:$G$232,ROW()-ROW($G$32)+1))),"")</f>
        <v/>
      </c>
      <c r="E98" s="12" t="str">
        <f aca="false">IFERROR(IF(INDEX('Checkout Log'!$H:$H,SMALL($G$32:$G$232,ROW()-ROW($G$32)+1))=0,"",INDEX('Checkout Log'!$H:$H,SMALL($G$32:$G$232,ROW()-ROW($G$32)+1))),"")</f>
        <v/>
      </c>
      <c r="F98" s="12" t="str">
        <f aca="false">IFERROR(IF(INDEX('Checkout Log'!$I:$I,SMALL($G$32:$G$232,ROW()-ROW($G$32)+1))=0,"",INDEX('Checkout Log'!$I:$I,SMALL($G$32:$G$232,ROW()-ROW($G$32)+1))),"")</f>
        <v/>
      </c>
      <c r="G98" s="1" t="str">
        <f aca="false">IF('Checkout Log'!$A69="","",IF('Checkout Log'!$L69="Returned","",ROW('Checkout Log'!$A69)))</f>
        <v/>
      </c>
    </row>
    <row r="99" customFormat="false" ht="15" hidden="false" customHeight="false" outlineLevel="0" collapsed="false">
      <c r="A99" s="13" t="str">
        <f aca="false">IFERROR(IF(INDEX('Checkout Log'!$A:$A,SMALL($G$32:$G$232,ROW()-ROW($G$32)+1))="","",INDEX('Checkout Log'!$A:$A,SMALL($G$32:$G$232,ROW()-ROW($G$32)+1))),"")</f>
        <v/>
      </c>
      <c r="B99" s="13" t="str">
        <f aca="false">IFERROR(IF(INDEX('Checkout Log'!$C:$C,SMALL($G$32:$G$232,ROW()-ROW($G$32)+1))="","",INDEX('Checkout Log'!$C:$C,SMALL($G$32:$G$232,ROW()-ROW($G$32)+1))),"")</f>
        <v/>
      </c>
      <c r="C99" s="13" t="str">
        <f aca="false">IFERROR(IF(INDEX('Checkout Log'!$D:$D,SMALL($G$32:$G$232,ROW()-ROW($G$32)+1))="","",INDEX('Checkout Log'!$D:$D,SMALL($G$32:$G$232,ROW()-ROW($G$32)+1))),"")</f>
        <v/>
      </c>
      <c r="D99" s="13" t="str">
        <f aca="false">IFERROR(IF(INDEX('Checkout Log'!$E:$E,SMALL($G$32:$G$232,ROW()-ROW($G$32)+1))="","",INDEX('Checkout Log'!$E:$E,SMALL($G$32:$G$232,ROW()-ROW($G$32)+1))),"")</f>
        <v/>
      </c>
      <c r="E99" s="14" t="str">
        <f aca="false">IFERROR(IF(INDEX('Checkout Log'!$H:$H,SMALL($G$32:$G$232,ROW()-ROW($G$32)+1))=0,"",INDEX('Checkout Log'!$H:$H,SMALL($G$32:$G$232,ROW()-ROW($G$32)+1))),"")</f>
        <v/>
      </c>
      <c r="F99" s="14" t="str">
        <f aca="false">IFERROR(IF(INDEX('Checkout Log'!$I:$I,SMALL($G$32:$G$232,ROW()-ROW($G$32)+1))=0,"",INDEX('Checkout Log'!$I:$I,SMALL($G$32:$G$232,ROW()-ROW($G$32)+1))),"")</f>
        <v/>
      </c>
      <c r="G99" s="1" t="str">
        <f aca="false">IF('Checkout Log'!$A70="","",IF('Checkout Log'!$L70="Returned","",ROW('Checkout Log'!$A70)))</f>
        <v/>
      </c>
    </row>
    <row r="100" customFormat="false" ht="15" hidden="false" customHeight="false" outlineLevel="0" collapsed="false">
      <c r="A100" s="11" t="str">
        <f aca="false">IFERROR(IF(INDEX('Checkout Log'!$A:$A,SMALL($G$32:$G$232,ROW()-ROW($G$32)+1))="","",INDEX('Checkout Log'!$A:$A,SMALL($G$32:$G$232,ROW()-ROW($G$32)+1))),"")</f>
        <v/>
      </c>
      <c r="B100" s="11" t="str">
        <f aca="false">IFERROR(IF(INDEX('Checkout Log'!$C:$C,SMALL($G$32:$G$232,ROW()-ROW($G$32)+1))="","",INDEX('Checkout Log'!$C:$C,SMALL($G$32:$G$232,ROW()-ROW($G$32)+1))),"")</f>
        <v/>
      </c>
      <c r="C100" s="11" t="str">
        <f aca="false">IFERROR(IF(INDEX('Checkout Log'!$D:$D,SMALL($G$32:$G$232,ROW()-ROW($G$32)+1))="","",INDEX('Checkout Log'!$D:$D,SMALL($G$32:$G$232,ROW()-ROW($G$32)+1))),"")</f>
        <v/>
      </c>
      <c r="D100" s="11" t="str">
        <f aca="false">IFERROR(IF(INDEX('Checkout Log'!$E:$E,SMALL($G$32:$G$232,ROW()-ROW($G$32)+1))="","",INDEX('Checkout Log'!$E:$E,SMALL($G$32:$G$232,ROW()-ROW($G$32)+1))),"")</f>
        <v/>
      </c>
      <c r="E100" s="12" t="str">
        <f aca="false">IFERROR(IF(INDEX('Checkout Log'!$H:$H,SMALL($G$32:$G$232,ROW()-ROW($G$32)+1))=0,"",INDEX('Checkout Log'!$H:$H,SMALL($G$32:$G$232,ROW()-ROW($G$32)+1))),"")</f>
        <v/>
      </c>
      <c r="F100" s="12" t="str">
        <f aca="false">IFERROR(IF(INDEX('Checkout Log'!$I:$I,SMALL($G$32:$G$232,ROW()-ROW($G$32)+1))=0,"",INDEX('Checkout Log'!$I:$I,SMALL($G$32:$G$232,ROW()-ROW($G$32)+1))),"")</f>
        <v/>
      </c>
      <c r="G100" s="1" t="str">
        <f aca="false">IF('Checkout Log'!$A71="","",IF('Checkout Log'!$L71="Returned","",ROW('Checkout Log'!$A71)))</f>
        <v/>
      </c>
    </row>
    <row r="101" customFormat="false" ht="15" hidden="false" customHeight="false" outlineLevel="0" collapsed="false">
      <c r="A101" s="13" t="str">
        <f aca="false">IF('Checkout Log'!$L72&lt;&gt;"Checked Out","",'Checkout Log'!$A72)</f>
        <v/>
      </c>
      <c r="B101" s="13" t="str">
        <f aca="false">IF('Checkout Log'!L72&lt;&gt;"Checked Out","",'Checkout Log'!C72)</f>
        <v/>
      </c>
      <c r="C101" s="13" t="str">
        <f aca="false">IF('Checkout Log'!L72&lt;&gt;"Checked Out","",'Checkout Log'!D72)</f>
        <v/>
      </c>
      <c r="D101" s="13" t="str">
        <f aca="false">IF('Checkout Log'!L72&lt;&gt;"Checked Out","",'Checkout Log'!E72)</f>
        <v/>
      </c>
      <c r="E101" s="14" t="str">
        <f aca="false">IF('Checkout Log'!L72&lt;&gt;"Checked Out","",'Checkout Log'!H72)</f>
        <v/>
      </c>
      <c r="F101" s="14" t="str">
        <f aca="false">IF('Checkout Log'!L72&lt;&gt;"Checked Out","",'Checkout Log'!I72)</f>
        <v/>
      </c>
    </row>
    <row r="102" customFormat="false" ht="15" hidden="false" customHeight="false" outlineLevel="0" collapsed="false">
      <c r="A102" s="11" t="str">
        <f aca="false">IF('Checkout Log'!$L73&lt;&gt;"Checked Out","",'Checkout Log'!$A73)</f>
        <v/>
      </c>
      <c r="B102" s="11" t="str">
        <f aca="false">IF('Checkout Log'!L73&lt;&gt;"Checked Out","",'Checkout Log'!C73)</f>
        <v/>
      </c>
      <c r="C102" s="11" t="str">
        <f aca="false">IF('Checkout Log'!L73&lt;&gt;"Checked Out","",'Checkout Log'!D73)</f>
        <v/>
      </c>
      <c r="D102" s="11" t="str">
        <f aca="false">IF('Checkout Log'!L73&lt;&gt;"Checked Out","",'Checkout Log'!E73)</f>
        <v/>
      </c>
      <c r="E102" s="12" t="str">
        <f aca="false">IF('Checkout Log'!L73&lt;&gt;"Checked Out","",'Checkout Log'!H73)</f>
        <v/>
      </c>
      <c r="F102" s="12" t="str">
        <f aca="false">IF('Checkout Log'!L73&lt;&gt;"Checked Out","",'Checkout Log'!I73)</f>
        <v/>
      </c>
    </row>
    <row r="103" customFormat="false" ht="15" hidden="false" customHeight="false" outlineLevel="0" collapsed="false">
      <c r="A103" s="13" t="str">
        <f aca="false">IF('Checkout Log'!$L74&lt;&gt;"Checked Out","",'Checkout Log'!$A74)</f>
        <v/>
      </c>
      <c r="B103" s="13" t="str">
        <f aca="false">IF('Checkout Log'!L74&lt;&gt;"Checked Out","",'Checkout Log'!C74)</f>
        <v/>
      </c>
      <c r="C103" s="13" t="str">
        <f aca="false">IF('Checkout Log'!L74&lt;&gt;"Checked Out","",'Checkout Log'!D74)</f>
        <v/>
      </c>
      <c r="D103" s="13" t="str">
        <f aca="false">IF('Checkout Log'!L74&lt;&gt;"Checked Out","",'Checkout Log'!E74)</f>
        <v/>
      </c>
      <c r="E103" s="14" t="str">
        <f aca="false">IF('Checkout Log'!L74&lt;&gt;"Checked Out","",'Checkout Log'!H74)</f>
        <v/>
      </c>
      <c r="F103" s="14" t="str">
        <f aca="false">IF('Checkout Log'!L74&lt;&gt;"Checked Out","",'Checkout Log'!I74)</f>
        <v/>
      </c>
    </row>
    <row r="104" customFormat="false" ht="15" hidden="false" customHeight="false" outlineLevel="0" collapsed="false">
      <c r="A104" s="11" t="str">
        <f aca="false">IF('Checkout Log'!$L75&lt;&gt;"Checked Out","",'Checkout Log'!$A75)</f>
        <v/>
      </c>
      <c r="B104" s="11" t="str">
        <f aca="false">IF('Checkout Log'!L75&lt;&gt;"Checked Out","",'Checkout Log'!C75)</f>
        <v/>
      </c>
      <c r="C104" s="11" t="str">
        <f aca="false">IF('Checkout Log'!L75&lt;&gt;"Checked Out","",'Checkout Log'!D75)</f>
        <v/>
      </c>
      <c r="D104" s="11" t="str">
        <f aca="false">IF('Checkout Log'!L75&lt;&gt;"Checked Out","",'Checkout Log'!E75)</f>
        <v/>
      </c>
      <c r="E104" s="12" t="str">
        <f aca="false">IF('Checkout Log'!L75&lt;&gt;"Checked Out","",'Checkout Log'!H75)</f>
        <v/>
      </c>
      <c r="F104" s="12" t="str">
        <f aca="false">IF('Checkout Log'!L75&lt;&gt;"Checked Out","",'Checkout Log'!I75)</f>
        <v/>
      </c>
    </row>
    <row r="105" customFormat="false" ht="15" hidden="false" customHeight="false" outlineLevel="0" collapsed="false">
      <c r="A105" s="13" t="str">
        <f aca="false">IF('Checkout Log'!$L76&lt;&gt;"Checked Out","",'Checkout Log'!$A76)</f>
        <v/>
      </c>
      <c r="B105" s="13" t="str">
        <f aca="false">IF('Checkout Log'!L76&lt;&gt;"Checked Out","",'Checkout Log'!C76)</f>
        <v/>
      </c>
      <c r="C105" s="13" t="str">
        <f aca="false">IF('Checkout Log'!L76&lt;&gt;"Checked Out","",'Checkout Log'!D76)</f>
        <v/>
      </c>
      <c r="D105" s="13" t="str">
        <f aca="false">IF('Checkout Log'!L76&lt;&gt;"Checked Out","",'Checkout Log'!E76)</f>
        <v/>
      </c>
      <c r="E105" s="14" t="str">
        <f aca="false">IF('Checkout Log'!L76&lt;&gt;"Checked Out","",'Checkout Log'!H76)</f>
        <v/>
      </c>
      <c r="F105" s="14" t="str">
        <f aca="false">IF('Checkout Log'!L76&lt;&gt;"Checked Out","",'Checkout Log'!I76)</f>
        <v/>
      </c>
    </row>
    <row r="106" customFormat="false" ht="15" hidden="false" customHeight="false" outlineLevel="0" collapsed="false">
      <c r="A106" s="11" t="str">
        <f aca="false">IF('Checkout Log'!$L77&lt;&gt;"Checked Out","",'Checkout Log'!$A77)</f>
        <v/>
      </c>
      <c r="B106" s="11" t="str">
        <f aca="false">IF('Checkout Log'!L77&lt;&gt;"Checked Out","",'Checkout Log'!C77)</f>
        <v/>
      </c>
      <c r="C106" s="11" t="str">
        <f aca="false">IF('Checkout Log'!L77&lt;&gt;"Checked Out","",'Checkout Log'!D77)</f>
        <v/>
      </c>
      <c r="D106" s="11" t="str">
        <f aca="false">IF('Checkout Log'!L77&lt;&gt;"Checked Out","",'Checkout Log'!E77)</f>
        <v/>
      </c>
      <c r="E106" s="12" t="str">
        <f aca="false">IF('Checkout Log'!L77&lt;&gt;"Checked Out","",'Checkout Log'!H77)</f>
        <v/>
      </c>
      <c r="F106" s="12" t="str">
        <f aca="false">IF('Checkout Log'!L77&lt;&gt;"Checked Out","",'Checkout Log'!I77)</f>
        <v/>
      </c>
    </row>
    <row r="107" customFormat="false" ht="15" hidden="false" customHeight="false" outlineLevel="0" collapsed="false">
      <c r="A107" s="13" t="str">
        <f aca="false">IF('Checkout Log'!$L78&lt;&gt;"Checked Out","",'Checkout Log'!$A78)</f>
        <v/>
      </c>
      <c r="B107" s="13" t="str">
        <f aca="false">IF('Checkout Log'!L78&lt;&gt;"Checked Out","",'Checkout Log'!C78)</f>
        <v/>
      </c>
      <c r="C107" s="13" t="str">
        <f aca="false">IF('Checkout Log'!L78&lt;&gt;"Checked Out","",'Checkout Log'!D78)</f>
        <v/>
      </c>
      <c r="D107" s="13" t="str">
        <f aca="false">IF('Checkout Log'!L78&lt;&gt;"Checked Out","",'Checkout Log'!E78)</f>
        <v/>
      </c>
      <c r="E107" s="14" t="str">
        <f aca="false">IF('Checkout Log'!L78&lt;&gt;"Checked Out","",'Checkout Log'!H78)</f>
        <v/>
      </c>
      <c r="F107" s="14" t="str">
        <f aca="false">IF('Checkout Log'!L78&lt;&gt;"Checked Out","",'Checkout Log'!I78)</f>
        <v/>
      </c>
    </row>
    <row r="108" customFormat="false" ht="15" hidden="false" customHeight="false" outlineLevel="0" collapsed="false">
      <c r="A108" s="11" t="str">
        <f aca="false">IF('Checkout Log'!$L79&lt;&gt;"Checked Out","",'Checkout Log'!$A79)</f>
        <v/>
      </c>
      <c r="B108" s="11" t="str">
        <f aca="false">IF('Checkout Log'!L79&lt;&gt;"Checked Out","",'Checkout Log'!C79)</f>
        <v/>
      </c>
      <c r="C108" s="11" t="str">
        <f aca="false">IF('Checkout Log'!L79&lt;&gt;"Checked Out","",'Checkout Log'!D79)</f>
        <v/>
      </c>
      <c r="D108" s="11" t="str">
        <f aca="false">IF('Checkout Log'!L79&lt;&gt;"Checked Out","",'Checkout Log'!E79)</f>
        <v/>
      </c>
      <c r="E108" s="12" t="str">
        <f aca="false">IF('Checkout Log'!L79&lt;&gt;"Checked Out","",'Checkout Log'!H79)</f>
        <v/>
      </c>
      <c r="F108" s="12" t="str">
        <f aca="false">IF('Checkout Log'!L79&lt;&gt;"Checked Out","",'Checkout Log'!I79)</f>
        <v/>
      </c>
    </row>
    <row r="109" customFormat="false" ht="15" hidden="false" customHeight="false" outlineLevel="0" collapsed="false">
      <c r="A109" s="13" t="str">
        <f aca="false">IF('Checkout Log'!$L80&lt;&gt;"Checked Out","",'Checkout Log'!$A80)</f>
        <v/>
      </c>
      <c r="B109" s="13" t="str">
        <f aca="false">IF('Checkout Log'!L80&lt;&gt;"Checked Out","",'Checkout Log'!C80)</f>
        <v/>
      </c>
      <c r="C109" s="13" t="str">
        <f aca="false">IF('Checkout Log'!L80&lt;&gt;"Checked Out","",'Checkout Log'!D80)</f>
        <v/>
      </c>
      <c r="D109" s="13" t="str">
        <f aca="false">IF('Checkout Log'!L80&lt;&gt;"Checked Out","",'Checkout Log'!E80)</f>
        <v/>
      </c>
      <c r="E109" s="14" t="str">
        <f aca="false">IF('Checkout Log'!L80&lt;&gt;"Checked Out","",'Checkout Log'!H80)</f>
        <v/>
      </c>
      <c r="F109" s="14" t="str">
        <f aca="false">IF('Checkout Log'!L80&lt;&gt;"Checked Out","",'Checkout Log'!I80)</f>
        <v/>
      </c>
    </row>
    <row r="110" customFormat="false" ht="15" hidden="false" customHeight="false" outlineLevel="0" collapsed="false">
      <c r="A110" s="11" t="str">
        <f aca="false">IF('Checkout Log'!$L81&lt;&gt;"Checked Out","",'Checkout Log'!$A81)</f>
        <v/>
      </c>
      <c r="B110" s="11" t="str">
        <f aca="false">IF('Checkout Log'!L81&lt;&gt;"Checked Out","",'Checkout Log'!C81)</f>
        <v/>
      </c>
      <c r="C110" s="11" t="str">
        <f aca="false">IF('Checkout Log'!L81&lt;&gt;"Checked Out","",'Checkout Log'!D81)</f>
        <v/>
      </c>
      <c r="D110" s="11" t="str">
        <f aca="false">IF('Checkout Log'!L81&lt;&gt;"Checked Out","",'Checkout Log'!E81)</f>
        <v/>
      </c>
      <c r="E110" s="12" t="str">
        <f aca="false">IF('Checkout Log'!L81&lt;&gt;"Checked Out","",'Checkout Log'!H81)</f>
        <v/>
      </c>
      <c r="F110" s="12" t="str">
        <f aca="false">IF('Checkout Log'!L81&lt;&gt;"Checked Out","",'Checkout Log'!I81)</f>
        <v/>
      </c>
    </row>
    <row r="111" customFormat="false" ht="15" hidden="false" customHeight="false" outlineLevel="0" collapsed="false">
      <c r="A111" s="13" t="str">
        <f aca="false">IF('Checkout Log'!$L82&lt;&gt;"Checked Out","",'Checkout Log'!$A82)</f>
        <v/>
      </c>
      <c r="B111" s="13" t="str">
        <f aca="false">IF('Checkout Log'!L82&lt;&gt;"Checked Out","",'Checkout Log'!C82)</f>
        <v/>
      </c>
      <c r="C111" s="13" t="str">
        <f aca="false">IF('Checkout Log'!L82&lt;&gt;"Checked Out","",'Checkout Log'!D82)</f>
        <v/>
      </c>
      <c r="D111" s="13" t="str">
        <f aca="false">IF('Checkout Log'!L82&lt;&gt;"Checked Out","",'Checkout Log'!E82)</f>
        <v/>
      </c>
      <c r="E111" s="14" t="str">
        <f aca="false">IF('Checkout Log'!L82&lt;&gt;"Checked Out","",'Checkout Log'!H82)</f>
        <v/>
      </c>
      <c r="F111" s="14" t="str">
        <f aca="false">IF('Checkout Log'!L82&lt;&gt;"Checked Out","",'Checkout Log'!I82)</f>
        <v/>
      </c>
    </row>
    <row r="112" customFormat="false" ht="15" hidden="false" customHeight="false" outlineLevel="0" collapsed="false">
      <c r="A112" s="11" t="str">
        <f aca="false">IF('Checkout Log'!$L83&lt;&gt;"Checked Out","",'Checkout Log'!$A83)</f>
        <v/>
      </c>
      <c r="B112" s="11" t="str">
        <f aca="false">IF('Checkout Log'!L83&lt;&gt;"Checked Out","",'Checkout Log'!C83)</f>
        <v/>
      </c>
      <c r="C112" s="11" t="str">
        <f aca="false">IF('Checkout Log'!L83&lt;&gt;"Checked Out","",'Checkout Log'!D83)</f>
        <v/>
      </c>
      <c r="D112" s="11" t="str">
        <f aca="false">IF('Checkout Log'!L83&lt;&gt;"Checked Out","",'Checkout Log'!E83)</f>
        <v/>
      </c>
      <c r="E112" s="12" t="str">
        <f aca="false">IF('Checkout Log'!L83&lt;&gt;"Checked Out","",'Checkout Log'!H83)</f>
        <v/>
      </c>
      <c r="F112" s="12" t="str">
        <f aca="false">IF('Checkout Log'!L83&lt;&gt;"Checked Out","",'Checkout Log'!I83)</f>
        <v/>
      </c>
    </row>
    <row r="113" customFormat="false" ht="15" hidden="false" customHeight="false" outlineLevel="0" collapsed="false">
      <c r="A113" s="13" t="str">
        <f aca="false">IF('Checkout Log'!$L84&lt;&gt;"Checked Out","",'Checkout Log'!$A84)</f>
        <v/>
      </c>
      <c r="B113" s="13" t="str">
        <f aca="false">IF('Checkout Log'!L84&lt;&gt;"Checked Out","",'Checkout Log'!C84)</f>
        <v/>
      </c>
      <c r="C113" s="13" t="str">
        <f aca="false">IF('Checkout Log'!L84&lt;&gt;"Checked Out","",'Checkout Log'!D84)</f>
        <v/>
      </c>
      <c r="D113" s="13" t="str">
        <f aca="false">IF('Checkout Log'!L84&lt;&gt;"Checked Out","",'Checkout Log'!E84)</f>
        <v/>
      </c>
      <c r="E113" s="14" t="str">
        <f aca="false">IF('Checkout Log'!L84&lt;&gt;"Checked Out","",'Checkout Log'!H84)</f>
        <v/>
      </c>
      <c r="F113" s="14" t="str">
        <f aca="false">IF('Checkout Log'!L84&lt;&gt;"Checked Out","",'Checkout Log'!I84)</f>
        <v/>
      </c>
    </row>
    <row r="114" customFormat="false" ht="15" hidden="false" customHeight="false" outlineLevel="0" collapsed="false">
      <c r="A114" s="11" t="str">
        <f aca="false">IF('Checkout Log'!$L85&lt;&gt;"Checked Out","",'Checkout Log'!$A85)</f>
        <v/>
      </c>
      <c r="B114" s="11" t="str">
        <f aca="false">IF('Checkout Log'!L85&lt;&gt;"Checked Out","",'Checkout Log'!C85)</f>
        <v/>
      </c>
      <c r="C114" s="11" t="str">
        <f aca="false">IF('Checkout Log'!L85&lt;&gt;"Checked Out","",'Checkout Log'!D85)</f>
        <v/>
      </c>
      <c r="D114" s="11" t="str">
        <f aca="false">IF('Checkout Log'!L85&lt;&gt;"Checked Out","",'Checkout Log'!E85)</f>
        <v/>
      </c>
      <c r="E114" s="12" t="str">
        <f aca="false">IF('Checkout Log'!L85&lt;&gt;"Checked Out","",'Checkout Log'!H85)</f>
        <v/>
      </c>
      <c r="F114" s="12" t="str">
        <f aca="false">IF('Checkout Log'!L85&lt;&gt;"Checked Out","",'Checkout Log'!I85)</f>
        <v/>
      </c>
    </row>
    <row r="115" customFormat="false" ht="15" hidden="false" customHeight="false" outlineLevel="0" collapsed="false">
      <c r="A115" s="13" t="str">
        <f aca="false">IF('Checkout Log'!$L86&lt;&gt;"Checked Out","",'Checkout Log'!$A86)</f>
        <v/>
      </c>
      <c r="B115" s="13" t="str">
        <f aca="false">IF('Checkout Log'!L86&lt;&gt;"Checked Out","",'Checkout Log'!C86)</f>
        <v/>
      </c>
      <c r="C115" s="13" t="str">
        <f aca="false">IF('Checkout Log'!L86&lt;&gt;"Checked Out","",'Checkout Log'!D86)</f>
        <v/>
      </c>
      <c r="D115" s="13" t="str">
        <f aca="false">IF('Checkout Log'!L86&lt;&gt;"Checked Out","",'Checkout Log'!E86)</f>
        <v/>
      </c>
      <c r="E115" s="14" t="str">
        <f aca="false">IF('Checkout Log'!L86&lt;&gt;"Checked Out","",'Checkout Log'!H86)</f>
        <v/>
      </c>
      <c r="F115" s="14" t="str">
        <f aca="false">IF('Checkout Log'!L86&lt;&gt;"Checked Out","",'Checkout Log'!I86)</f>
        <v/>
      </c>
    </row>
    <row r="116" customFormat="false" ht="15" hidden="false" customHeight="false" outlineLevel="0" collapsed="false">
      <c r="A116" s="11" t="str">
        <f aca="false">IF('Checkout Log'!$L87&lt;&gt;"Checked Out","",'Checkout Log'!$A87)</f>
        <v/>
      </c>
      <c r="B116" s="11" t="str">
        <f aca="false">IF('Checkout Log'!L87&lt;&gt;"Checked Out","",'Checkout Log'!C87)</f>
        <v/>
      </c>
      <c r="C116" s="11" t="str">
        <f aca="false">IF('Checkout Log'!L87&lt;&gt;"Checked Out","",'Checkout Log'!D87)</f>
        <v/>
      </c>
      <c r="D116" s="11" t="str">
        <f aca="false">IF('Checkout Log'!L87&lt;&gt;"Checked Out","",'Checkout Log'!E87)</f>
        <v/>
      </c>
      <c r="E116" s="12" t="str">
        <f aca="false">IF('Checkout Log'!L87&lt;&gt;"Checked Out","",'Checkout Log'!H87)</f>
        <v/>
      </c>
      <c r="F116" s="12" t="str">
        <f aca="false">IF('Checkout Log'!L87&lt;&gt;"Checked Out","",'Checkout Log'!I87)</f>
        <v/>
      </c>
    </row>
    <row r="117" customFormat="false" ht="15" hidden="false" customHeight="false" outlineLevel="0" collapsed="false">
      <c r="A117" s="13" t="str">
        <f aca="false">IF('Checkout Log'!$L88&lt;&gt;"Checked Out","",'Checkout Log'!$A88)</f>
        <v/>
      </c>
      <c r="B117" s="13" t="str">
        <f aca="false">IF('Checkout Log'!L88&lt;&gt;"Checked Out","",'Checkout Log'!C88)</f>
        <v/>
      </c>
      <c r="C117" s="13" t="str">
        <f aca="false">IF('Checkout Log'!L88&lt;&gt;"Checked Out","",'Checkout Log'!D88)</f>
        <v/>
      </c>
      <c r="D117" s="13" t="str">
        <f aca="false">IF('Checkout Log'!L88&lt;&gt;"Checked Out","",'Checkout Log'!E88)</f>
        <v/>
      </c>
      <c r="E117" s="14" t="str">
        <f aca="false">IF('Checkout Log'!L88&lt;&gt;"Checked Out","",'Checkout Log'!H88)</f>
        <v/>
      </c>
      <c r="F117" s="14" t="str">
        <f aca="false">IF('Checkout Log'!L88&lt;&gt;"Checked Out","",'Checkout Log'!I88)</f>
        <v/>
      </c>
    </row>
    <row r="118" customFormat="false" ht="15" hidden="false" customHeight="false" outlineLevel="0" collapsed="false">
      <c r="A118" s="11" t="str">
        <f aca="false">IF('Checkout Log'!$L89&lt;&gt;"Checked Out","",'Checkout Log'!$A89)</f>
        <v/>
      </c>
      <c r="B118" s="11" t="str">
        <f aca="false">IF('Checkout Log'!L89&lt;&gt;"Checked Out","",'Checkout Log'!C89)</f>
        <v/>
      </c>
      <c r="C118" s="11" t="str">
        <f aca="false">IF('Checkout Log'!L89&lt;&gt;"Checked Out","",'Checkout Log'!D89)</f>
        <v/>
      </c>
      <c r="D118" s="11" t="str">
        <f aca="false">IF('Checkout Log'!L89&lt;&gt;"Checked Out","",'Checkout Log'!E89)</f>
        <v/>
      </c>
      <c r="E118" s="12" t="str">
        <f aca="false">IF('Checkout Log'!L89&lt;&gt;"Checked Out","",'Checkout Log'!H89)</f>
        <v/>
      </c>
      <c r="F118" s="12" t="str">
        <f aca="false">IF('Checkout Log'!L89&lt;&gt;"Checked Out","",'Checkout Log'!I89)</f>
        <v/>
      </c>
    </row>
    <row r="119" customFormat="false" ht="15" hidden="false" customHeight="false" outlineLevel="0" collapsed="false">
      <c r="A119" s="13" t="str">
        <f aca="false">IF('Checkout Log'!$L90&lt;&gt;"Checked Out","",'Checkout Log'!$A90)</f>
        <v/>
      </c>
      <c r="B119" s="13" t="str">
        <f aca="false">IF('Checkout Log'!L90&lt;&gt;"Checked Out","",'Checkout Log'!C90)</f>
        <v/>
      </c>
      <c r="C119" s="13" t="str">
        <f aca="false">IF('Checkout Log'!L90&lt;&gt;"Checked Out","",'Checkout Log'!D90)</f>
        <v/>
      </c>
      <c r="D119" s="13" t="str">
        <f aca="false">IF('Checkout Log'!L90&lt;&gt;"Checked Out","",'Checkout Log'!E90)</f>
        <v/>
      </c>
      <c r="E119" s="14" t="str">
        <f aca="false">IF('Checkout Log'!L90&lt;&gt;"Checked Out","",'Checkout Log'!H90)</f>
        <v/>
      </c>
      <c r="F119" s="14" t="str">
        <f aca="false">IF('Checkout Log'!L90&lt;&gt;"Checked Out","",'Checkout Log'!I90)</f>
        <v/>
      </c>
    </row>
    <row r="120" customFormat="false" ht="15" hidden="false" customHeight="false" outlineLevel="0" collapsed="false">
      <c r="A120" s="11" t="str">
        <f aca="false">IF('Checkout Log'!$L91&lt;&gt;"Checked Out","",'Checkout Log'!$A91)</f>
        <v/>
      </c>
      <c r="B120" s="11" t="str">
        <f aca="false">IF('Checkout Log'!L91&lt;&gt;"Checked Out","",'Checkout Log'!C91)</f>
        <v/>
      </c>
      <c r="C120" s="11" t="str">
        <f aca="false">IF('Checkout Log'!L91&lt;&gt;"Checked Out","",'Checkout Log'!D91)</f>
        <v/>
      </c>
      <c r="D120" s="11" t="str">
        <f aca="false">IF('Checkout Log'!L91&lt;&gt;"Checked Out","",'Checkout Log'!E91)</f>
        <v/>
      </c>
      <c r="E120" s="12" t="str">
        <f aca="false">IF('Checkout Log'!L91&lt;&gt;"Checked Out","",'Checkout Log'!H91)</f>
        <v/>
      </c>
      <c r="F120" s="12" t="str">
        <f aca="false">IF('Checkout Log'!L91&lt;&gt;"Checked Out","",'Checkout Log'!I91)</f>
        <v/>
      </c>
    </row>
    <row r="121" customFormat="false" ht="15" hidden="false" customHeight="false" outlineLevel="0" collapsed="false">
      <c r="A121" s="13" t="str">
        <f aca="false">IF('Checkout Log'!$L92&lt;&gt;"Checked Out","",'Checkout Log'!$A92)</f>
        <v/>
      </c>
      <c r="B121" s="13" t="str">
        <f aca="false">IF('Checkout Log'!L92&lt;&gt;"Checked Out","",'Checkout Log'!C92)</f>
        <v/>
      </c>
      <c r="C121" s="13" t="str">
        <f aca="false">IF('Checkout Log'!L92&lt;&gt;"Checked Out","",'Checkout Log'!D92)</f>
        <v/>
      </c>
      <c r="D121" s="13" t="str">
        <f aca="false">IF('Checkout Log'!L92&lt;&gt;"Checked Out","",'Checkout Log'!E92)</f>
        <v/>
      </c>
      <c r="E121" s="14" t="str">
        <f aca="false">IF('Checkout Log'!L92&lt;&gt;"Checked Out","",'Checkout Log'!H92)</f>
        <v/>
      </c>
      <c r="F121" s="14" t="str">
        <f aca="false">IF('Checkout Log'!L92&lt;&gt;"Checked Out","",'Checkout Log'!I92)</f>
        <v/>
      </c>
    </row>
    <row r="122" customFormat="false" ht="15" hidden="false" customHeight="false" outlineLevel="0" collapsed="false">
      <c r="A122" s="11" t="str">
        <f aca="false">IF('Checkout Log'!$L93&lt;&gt;"Checked Out","",'Checkout Log'!$A93)</f>
        <v/>
      </c>
      <c r="B122" s="11" t="str">
        <f aca="false">IF('Checkout Log'!L93&lt;&gt;"Checked Out","",'Checkout Log'!C93)</f>
        <v/>
      </c>
      <c r="C122" s="11" t="str">
        <f aca="false">IF('Checkout Log'!L93&lt;&gt;"Checked Out","",'Checkout Log'!D93)</f>
        <v/>
      </c>
      <c r="D122" s="11" t="str">
        <f aca="false">IF('Checkout Log'!L93&lt;&gt;"Checked Out","",'Checkout Log'!E93)</f>
        <v/>
      </c>
      <c r="E122" s="12" t="str">
        <f aca="false">IF('Checkout Log'!L93&lt;&gt;"Checked Out","",'Checkout Log'!H93)</f>
        <v/>
      </c>
      <c r="F122" s="12" t="str">
        <f aca="false">IF('Checkout Log'!L93&lt;&gt;"Checked Out","",'Checkout Log'!I93)</f>
        <v/>
      </c>
    </row>
    <row r="123" customFormat="false" ht="15" hidden="false" customHeight="false" outlineLevel="0" collapsed="false">
      <c r="A123" s="13" t="str">
        <f aca="false">IF('Checkout Log'!$L94&lt;&gt;"Checked Out","",'Checkout Log'!$A94)</f>
        <v/>
      </c>
      <c r="B123" s="13" t="str">
        <f aca="false">IF('Checkout Log'!L94&lt;&gt;"Checked Out","",'Checkout Log'!C94)</f>
        <v/>
      </c>
      <c r="C123" s="13" t="str">
        <f aca="false">IF('Checkout Log'!L94&lt;&gt;"Checked Out","",'Checkout Log'!D94)</f>
        <v/>
      </c>
      <c r="D123" s="13" t="str">
        <f aca="false">IF('Checkout Log'!L94&lt;&gt;"Checked Out","",'Checkout Log'!E94)</f>
        <v/>
      </c>
      <c r="E123" s="14" t="str">
        <f aca="false">IF('Checkout Log'!L94&lt;&gt;"Checked Out","",'Checkout Log'!H94)</f>
        <v/>
      </c>
      <c r="F123" s="14" t="str">
        <f aca="false">IF('Checkout Log'!L94&lt;&gt;"Checked Out","",'Checkout Log'!I94)</f>
        <v/>
      </c>
    </row>
    <row r="124" customFormat="false" ht="15" hidden="false" customHeight="false" outlineLevel="0" collapsed="false">
      <c r="A124" s="11" t="str">
        <f aca="false">IF('Checkout Log'!$L95&lt;&gt;"Checked Out","",'Checkout Log'!$A95)</f>
        <v/>
      </c>
      <c r="B124" s="11" t="str">
        <f aca="false">IF('Checkout Log'!L95&lt;&gt;"Checked Out","",'Checkout Log'!C95)</f>
        <v/>
      </c>
      <c r="C124" s="11" t="str">
        <f aca="false">IF('Checkout Log'!L95&lt;&gt;"Checked Out","",'Checkout Log'!D95)</f>
        <v/>
      </c>
      <c r="D124" s="11" t="str">
        <f aca="false">IF('Checkout Log'!L95&lt;&gt;"Checked Out","",'Checkout Log'!E95)</f>
        <v/>
      </c>
      <c r="E124" s="12" t="str">
        <f aca="false">IF('Checkout Log'!L95&lt;&gt;"Checked Out","",'Checkout Log'!H95)</f>
        <v/>
      </c>
      <c r="F124" s="12" t="str">
        <f aca="false">IF('Checkout Log'!L95&lt;&gt;"Checked Out","",'Checkout Log'!I95)</f>
        <v/>
      </c>
    </row>
    <row r="125" customFormat="false" ht="15" hidden="false" customHeight="false" outlineLevel="0" collapsed="false">
      <c r="A125" s="13" t="str">
        <f aca="false">IF('Checkout Log'!$L96&lt;&gt;"Checked Out","",'Checkout Log'!$A96)</f>
        <v/>
      </c>
      <c r="B125" s="13" t="str">
        <f aca="false">IF('Checkout Log'!L96&lt;&gt;"Checked Out","",'Checkout Log'!C96)</f>
        <v/>
      </c>
      <c r="C125" s="13" t="str">
        <f aca="false">IF('Checkout Log'!L96&lt;&gt;"Checked Out","",'Checkout Log'!D96)</f>
        <v/>
      </c>
      <c r="D125" s="13" t="str">
        <f aca="false">IF('Checkout Log'!L96&lt;&gt;"Checked Out","",'Checkout Log'!E96)</f>
        <v/>
      </c>
      <c r="E125" s="14" t="str">
        <f aca="false">IF('Checkout Log'!L96&lt;&gt;"Checked Out","",'Checkout Log'!H96)</f>
        <v/>
      </c>
      <c r="F125" s="14" t="str">
        <f aca="false">IF('Checkout Log'!L96&lt;&gt;"Checked Out","",'Checkout Log'!I96)</f>
        <v/>
      </c>
    </row>
    <row r="126" customFormat="false" ht="15" hidden="false" customHeight="false" outlineLevel="0" collapsed="false">
      <c r="A126" s="11" t="str">
        <f aca="false">IF('Checkout Log'!$L97&lt;&gt;"Checked Out","",'Checkout Log'!$A97)</f>
        <v/>
      </c>
      <c r="B126" s="11" t="str">
        <f aca="false">IF('Checkout Log'!L97&lt;&gt;"Checked Out","",'Checkout Log'!C97)</f>
        <v/>
      </c>
      <c r="C126" s="11" t="str">
        <f aca="false">IF('Checkout Log'!L97&lt;&gt;"Checked Out","",'Checkout Log'!D97)</f>
        <v/>
      </c>
      <c r="D126" s="11" t="str">
        <f aca="false">IF('Checkout Log'!L97&lt;&gt;"Checked Out","",'Checkout Log'!E97)</f>
        <v/>
      </c>
      <c r="E126" s="12" t="str">
        <f aca="false">IF('Checkout Log'!L97&lt;&gt;"Checked Out","",'Checkout Log'!H97)</f>
        <v/>
      </c>
      <c r="F126" s="12" t="str">
        <f aca="false">IF('Checkout Log'!L97&lt;&gt;"Checked Out","",'Checkout Log'!I97)</f>
        <v/>
      </c>
    </row>
    <row r="127" customFormat="false" ht="15" hidden="false" customHeight="false" outlineLevel="0" collapsed="false">
      <c r="A127" s="13" t="str">
        <f aca="false">IF('Checkout Log'!$L98&lt;&gt;"Checked Out","",'Checkout Log'!$A98)</f>
        <v/>
      </c>
      <c r="B127" s="13" t="str">
        <f aca="false">IF('Checkout Log'!L98&lt;&gt;"Checked Out","",'Checkout Log'!C98)</f>
        <v/>
      </c>
      <c r="C127" s="13" t="str">
        <f aca="false">IF('Checkout Log'!L98&lt;&gt;"Checked Out","",'Checkout Log'!D98)</f>
        <v/>
      </c>
      <c r="D127" s="13" t="str">
        <f aca="false">IF('Checkout Log'!L98&lt;&gt;"Checked Out","",'Checkout Log'!E98)</f>
        <v/>
      </c>
      <c r="E127" s="14" t="str">
        <f aca="false">IF('Checkout Log'!L98&lt;&gt;"Checked Out","",'Checkout Log'!H98)</f>
        <v/>
      </c>
      <c r="F127" s="14" t="str">
        <f aca="false">IF('Checkout Log'!L98&lt;&gt;"Checked Out","",'Checkout Log'!I98)</f>
        <v/>
      </c>
    </row>
    <row r="128" customFormat="false" ht="15" hidden="false" customHeight="false" outlineLevel="0" collapsed="false">
      <c r="A128" s="11" t="str">
        <f aca="false">IF('Checkout Log'!$L99&lt;&gt;"Checked Out","",'Checkout Log'!$A99)</f>
        <v/>
      </c>
      <c r="B128" s="11" t="str">
        <f aca="false">IF('Checkout Log'!L99&lt;&gt;"Checked Out","",'Checkout Log'!C99)</f>
        <v/>
      </c>
      <c r="C128" s="11" t="str">
        <f aca="false">IF('Checkout Log'!L99&lt;&gt;"Checked Out","",'Checkout Log'!D99)</f>
        <v/>
      </c>
      <c r="D128" s="11" t="str">
        <f aca="false">IF('Checkout Log'!L99&lt;&gt;"Checked Out","",'Checkout Log'!E99)</f>
        <v/>
      </c>
      <c r="E128" s="12" t="str">
        <f aca="false">IF('Checkout Log'!L99&lt;&gt;"Checked Out","",'Checkout Log'!H99)</f>
        <v/>
      </c>
      <c r="F128" s="12" t="str">
        <f aca="false">IF('Checkout Log'!L99&lt;&gt;"Checked Out","",'Checkout Log'!I99)</f>
        <v/>
      </c>
    </row>
    <row r="129" customFormat="false" ht="15" hidden="false" customHeight="false" outlineLevel="0" collapsed="false">
      <c r="A129" s="13" t="str">
        <f aca="false">IF('Checkout Log'!$L100&lt;&gt;"Checked Out","",'Checkout Log'!$A100)</f>
        <v/>
      </c>
      <c r="B129" s="13" t="str">
        <f aca="false">IF('Checkout Log'!L100&lt;&gt;"Checked Out","",'Checkout Log'!C100)</f>
        <v/>
      </c>
      <c r="C129" s="13" t="str">
        <f aca="false">IF('Checkout Log'!L100&lt;&gt;"Checked Out","",'Checkout Log'!D100)</f>
        <v/>
      </c>
      <c r="D129" s="13" t="str">
        <f aca="false">IF('Checkout Log'!L100&lt;&gt;"Checked Out","",'Checkout Log'!E100)</f>
        <v/>
      </c>
      <c r="E129" s="14" t="str">
        <f aca="false">IF('Checkout Log'!L100&lt;&gt;"Checked Out","",'Checkout Log'!H100)</f>
        <v/>
      </c>
      <c r="F129" s="14" t="str">
        <f aca="false">IF('Checkout Log'!L100&lt;&gt;"Checked Out","",'Checkout Log'!I100)</f>
        <v/>
      </c>
    </row>
    <row r="130" customFormat="false" ht="15" hidden="false" customHeight="false" outlineLevel="0" collapsed="false">
      <c r="A130" s="11" t="str">
        <f aca="false">IF('Checkout Log'!$L101&lt;&gt;"Checked Out","",'Checkout Log'!$A101)</f>
        <v/>
      </c>
      <c r="B130" s="11" t="str">
        <f aca="false">IF('Checkout Log'!L101&lt;&gt;"Checked Out","",'Checkout Log'!C101)</f>
        <v/>
      </c>
      <c r="C130" s="11" t="str">
        <f aca="false">IF('Checkout Log'!L101&lt;&gt;"Checked Out","",'Checkout Log'!D101)</f>
        <v/>
      </c>
      <c r="D130" s="11" t="str">
        <f aca="false">IF('Checkout Log'!L101&lt;&gt;"Checked Out","",'Checkout Log'!E101)</f>
        <v/>
      </c>
      <c r="E130" s="12" t="str">
        <f aca="false">IF('Checkout Log'!L101&lt;&gt;"Checked Out","",'Checkout Log'!H101)</f>
        <v/>
      </c>
      <c r="F130" s="12" t="str">
        <f aca="false">IF('Checkout Log'!L101&lt;&gt;"Checked Out","",'Checkout Log'!I101)</f>
        <v/>
      </c>
    </row>
    <row r="131" customFormat="false" ht="15" hidden="false" customHeight="false" outlineLevel="0" collapsed="false">
      <c r="A131" s="13" t="str">
        <f aca="false">IF('Checkout Log'!$L102&lt;&gt;"Checked Out","",'Checkout Log'!$A102)</f>
        <v/>
      </c>
      <c r="B131" s="13" t="str">
        <f aca="false">IF('Checkout Log'!L102&lt;&gt;"Checked Out","",'Checkout Log'!C102)</f>
        <v/>
      </c>
      <c r="C131" s="13" t="str">
        <f aca="false">IF('Checkout Log'!L102&lt;&gt;"Checked Out","",'Checkout Log'!D102)</f>
        <v/>
      </c>
      <c r="D131" s="13" t="str">
        <f aca="false">IF('Checkout Log'!L102&lt;&gt;"Checked Out","",'Checkout Log'!E102)</f>
        <v/>
      </c>
      <c r="E131" s="14" t="str">
        <f aca="false">IF('Checkout Log'!L102&lt;&gt;"Checked Out","",'Checkout Log'!H102)</f>
        <v/>
      </c>
      <c r="F131" s="14" t="str">
        <f aca="false">IF('Checkout Log'!L102&lt;&gt;"Checked Out","",'Checkout Log'!I102)</f>
        <v/>
      </c>
    </row>
    <row r="132" customFormat="false" ht="15" hidden="false" customHeight="false" outlineLevel="0" collapsed="false">
      <c r="A132" s="11" t="str">
        <f aca="false">IF('Checkout Log'!$L103&lt;&gt;"Checked Out","",'Checkout Log'!$A103)</f>
        <v/>
      </c>
      <c r="B132" s="11" t="str">
        <f aca="false">IF('Checkout Log'!L103&lt;&gt;"Checked Out","",'Checkout Log'!C103)</f>
        <v/>
      </c>
      <c r="C132" s="11" t="str">
        <f aca="false">IF('Checkout Log'!L103&lt;&gt;"Checked Out","",'Checkout Log'!D103)</f>
        <v/>
      </c>
      <c r="D132" s="11" t="str">
        <f aca="false">IF('Checkout Log'!L103&lt;&gt;"Checked Out","",'Checkout Log'!E103)</f>
        <v/>
      </c>
      <c r="E132" s="12" t="str">
        <f aca="false">IF('Checkout Log'!L103&lt;&gt;"Checked Out","",'Checkout Log'!H103)</f>
        <v/>
      </c>
      <c r="F132" s="12" t="str">
        <f aca="false">IF('Checkout Log'!L103&lt;&gt;"Checked Out","",'Checkout Log'!I103)</f>
        <v/>
      </c>
    </row>
    <row r="133" customFormat="false" ht="15" hidden="false" customHeight="false" outlineLevel="0" collapsed="false">
      <c r="A133" s="13" t="str">
        <f aca="false">IF('Checkout Log'!$L104&lt;&gt;"Checked Out","",'Checkout Log'!$A104)</f>
        <v/>
      </c>
      <c r="B133" s="13" t="str">
        <f aca="false">IF('Checkout Log'!L104&lt;&gt;"Checked Out","",'Checkout Log'!C104)</f>
        <v/>
      </c>
      <c r="C133" s="13" t="str">
        <f aca="false">IF('Checkout Log'!L104&lt;&gt;"Checked Out","",'Checkout Log'!D104)</f>
        <v/>
      </c>
      <c r="D133" s="13" t="str">
        <f aca="false">IF('Checkout Log'!L104&lt;&gt;"Checked Out","",'Checkout Log'!E104)</f>
        <v/>
      </c>
      <c r="E133" s="14" t="str">
        <f aca="false">IF('Checkout Log'!L104&lt;&gt;"Checked Out","",'Checkout Log'!H104)</f>
        <v/>
      </c>
      <c r="F133" s="14" t="str">
        <f aca="false">IF('Checkout Log'!L104&lt;&gt;"Checked Out","",'Checkout Log'!I104)</f>
        <v/>
      </c>
    </row>
    <row r="134" customFormat="false" ht="15" hidden="false" customHeight="false" outlineLevel="0" collapsed="false">
      <c r="A134" s="11" t="str">
        <f aca="false">IF('Checkout Log'!$L105&lt;&gt;"Checked Out","",'Checkout Log'!$A105)</f>
        <v/>
      </c>
      <c r="B134" s="11" t="str">
        <f aca="false">IF('Checkout Log'!L105&lt;&gt;"Checked Out","",'Checkout Log'!C105)</f>
        <v/>
      </c>
      <c r="C134" s="11" t="str">
        <f aca="false">IF('Checkout Log'!L105&lt;&gt;"Checked Out","",'Checkout Log'!D105)</f>
        <v/>
      </c>
      <c r="D134" s="11" t="str">
        <f aca="false">IF('Checkout Log'!L105&lt;&gt;"Checked Out","",'Checkout Log'!E105)</f>
        <v/>
      </c>
      <c r="E134" s="12" t="str">
        <f aca="false">IF('Checkout Log'!L105&lt;&gt;"Checked Out","",'Checkout Log'!H105)</f>
        <v/>
      </c>
      <c r="F134" s="12" t="str">
        <f aca="false">IF('Checkout Log'!L105&lt;&gt;"Checked Out","",'Checkout Log'!I105)</f>
        <v/>
      </c>
    </row>
    <row r="135" customFormat="false" ht="15" hidden="false" customHeight="false" outlineLevel="0" collapsed="false">
      <c r="A135" s="13" t="str">
        <f aca="false">IF('Checkout Log'!$L106&lt;&gt;"Checked Out","",'Checkout Log'!$A106)</f>
        <v/>
      </c>
      <c r="B135" s="13" t="str">
        <f aca="false">IF('Checkout Log'!L106&lt;&gt;"Checked Out","",'Checkout Log'!C106)</f>
        <v/>
      </c>
      <c r="C135" s="13" t="str">
        <f aca="false">IF('Checkout Log'!L106&lt;&gt;"Checked Out","",'Checkout Log'!D106)</f>
        <v/>
      </c>
      <c r="D135" s="13" t="str">
        <f aca="false">IF('Checkout Log'!L106&lt;&gt;"Checked Out","",'Checkout Log'!E106)</f>
        <v/>
      </c>
      <c r="E135" s="14" t="str">
        <f aca="false">IF('Checkout Log'!L106&lt;&gt;"Checked Out","",'Checkout Log'!H106)</f>
        <v/>
      </c>
      <c r="F135" s="14" t="str">
        <f aca="false">IF('Checkout Log'!L106&lt;&gt;"Checked Out","",'Checkout Log'!I106)</f>
        <v/>
      </c>
    </row>
    <row r="136" customFormat="false" ht="15" hidden="false" customHeight="false" outlineLevel="0" collapsed="false">
      <c r="A136" s="11" t="str">
        <f aca="false">IF('Checkout Log'!$L107&lt;&gt;"Checked Out","",'Checkout Log'!$A107)</f>
        <v/>
      </c>
      <c r="B136" s="11" t="str">
        <f aca="false">IF('Checkout Log'!L107&lt;&gt;"Checked Out","",'Checkout Log'!C107)</f>
        <v/>
      </c>
      <c r="C136" s="11" t="str">
        <f aca="false">IF('Checkout Log'!L107&lt;&gt;"Checked Out","",'Checkout Log'!D107)</f>
        <v/>
      </c>
      <c r="D136" s="11" t="str">
        <f aca="false">IF('Checkout Log'!L107&lt;&gt;"Checked Out","",'Checkout Log'!E107)</f>
        <v/>
      </c>
      <c r="E136" s="12" t="str">
        <f aca="false">IF('Checkout Log'!L107&lt;&gt;"Checked Out","",'Checkout Log'!H107)</f>
        <v/>
      </c>
      <c r="F136" s="12" t="str">
        <f aca="false">IF('Checkout Log'!L107&lt;&gt;"Checked Out","",'Checkout Log'!I107)</f>
        <v/>
      </c>
    </row>
    <row r="137" customFormat="false" ht="15" hidden="false" customHeight="false" outlineLevel="0" collapsed="false">
      <c r="A137" s="13" t="str">
        <f aca="false">IF('Checkout Log'!$L108&lt;&gt;"Checked Out","",'Checkout Log'!$A108)</f>
        <v/>
      </c>
      <c r="B137" s="13" t="str">
        <f aca="false">IF('Checkout Log'!L108&lt;&gt;"Checked Out","",'Checkout Log'!C108)</f>
        <v/>
      </c>
      <c r="C137" s="13" t="str">
        <f aca="false">IF('Checkout Log'!L108&lt;&gt;"Checked Out","",'Checkout Log'!D108)</f>
        <v/>
      </c>
      <c r="D137" s="13" t="str">
        <f aca="false">IF('Checkout Log'!L108&lt;&gt;"Checked Out","",'Checkout Log'!E108)</f>
        <v/>
      </c>
      <c r="E137" s="14" t="str">
        <f aca="false">IF('Checkout Log'!L108&lt;&gt;"Checked Out","",'Checkout Log'!H108)</f>
        <v/>
      </c>
      <c r="F137" s="14" t="str">
        <f aca="false">IF('Checkout Log'!L108&lt;&gt;"Checked Out","",'Checkout Log'!I108)</f>
        <v/>
      </c>
    </row>
    <row r="138" customFormat="false" ht="15" hidden="false" customHeight="false" outlineLevel="0" collapsed="false">
      <c r="A138" s="11" t="str">
        <f aca="false">IF('Checkout Log'!$L109&lt;&gt;"Checked Out","",'Checkout Log'!$A109)</f>
        <v/>
      </c>
      <c r="B138" s="11" t="str">
        <f aca="false">IF('Checkout Log'!L109&lt;&gt;"Checked Out","",'Checkout Log'!C109)</f>
        <v/>
      </c>
      <c r="C138" s="11" t="str">
        <f aca="false">IF('Checkout Log'!L109&lt;&gt;"Checked Out","",'Checkout Log'!D109)</f>
        <v/>
      </c>
      <c r="D138" s="11" t="str">
        <f aca="false">IF('Checkout Log'!L109&lt;&gt;"Checked Out","",'Checkout Log'!E109)</f>
        <v/>
      </c>
      <c r="E138" s="12" t="str">
        <f aca="false">IF('Checkout Log'!L109&lt;&gt;"Checked Out","",'Checkout Log'!H109)</f>
        <v/>
      </c>
      <c r="F138" s="12" t="str">
        <f aca="false">IF('Checkout Log'!L109&lt;&gt;"Checked Out","",'Checkout Log'!I109)</f>
        <v/>
      </c>
    </row>
    <row r="139" customFormat="false" ht="15" hidden="false" customHeight="false" outlineLevel="0" collapsed="false">
      <c r="A139" s="13" t="str">
        <f aca="false">IF('Checkout Log'!$L110&lt;&gt;"Checked Out","",'Checkout Log'!$A110)</f>
        <v/>
      </c>
      <c r="B139" s="13" t="str">
        <f aca="false">IF('Checkout Log'!L110&lt;&gt;"Checked Out","",'Checkout Log'!C110)</f>
        <v/>
      </c>
      <c r="C139" s="13" t="str">
        <f aca="false">IF('Checkout Log'!L110&lt;&gt;"Checked Out","",'Checkout Log'!D110)</f>
        <v/>
      </c>
      <c r="D139" s="13" t="str">
        <f aca="false">IF('Checkout Log'!L110&lt;&gt;"Checked Out","",'Checkout Log'!E110)</f>
        <v/>
      </c>
      <c r="E139" s="14" t="str">
        <f aca="false">IF('Checkout Log'!L110&lt;&gt;"Checked Out","",'Checkout Log'!H110)</f>
        <v/>
      </c>
      <c r="F139" s="14" t="str">
        <f aca="false">IF('Checkout Log'!L110&lt;&gt;"Checked Out","",'Checkout Log'!I110)</f>
        <v/>
      </c>
    </row>
    <row r="140" customFormat="false" ht="15" hidden="false" customHeight="false" outlineLevel="0" collapsed="false">
      <c r="A140" s="11" t="str">
        <f aca="false">IF('Checkout Log'!$L111&lt;&gt;"Checked Out","",'Checkout Log'!$A111)</f>
        <v/>
      </c>
      <c r="B140" s="11" t="str">
        <f aca="false">IF('Checkout Log'!L111&lt;&gt;"Checked Out","",'Checkout Log'!C111)</f>
        <v/>
      </c>
      <c r="C140" s="11" t="str">
        <f aca="false">IF('Checkout Log'!L111&lt;&gt;"Checked Out","",'Checkout Log'!D111)</f>
        <v/>
      </c>
      <c r="D140" s="11" t="str">
        <f aca="false">IF('Checkout Log'!L111&lt;&gt;"Checked Out","",'Checkout Log'!E111)</f>
        <v/>
      </c>
      <c r="E140" s="12" t="str">
        <f aca="false">IF('Checkout Log'!L111&lt;&gt;"Checked Out","",'Checkout Log'!H111)</f>
        <v/>
      </c>
      <c r="F140" s="12" t="str">
        <f aca="false">IF('Checkout Log'!L111&lt;&gt;"Checked Out","",'Checkout Log'!I111)</f>
        <v/>
      </c>
    </row>
    <row r="141" customFormat="false" ht="15" hidden="false" customHeight="false" outlineLevel="0" collapsed="false">
      <c r="A141" s="13" t="str">
        <f aca="false">IF('Checkout Log'!$L112&lt;&gt;"Checked Out","",'Checkout Log'!$A112)</f>
        <v/>
      </c>
      <c r="B141" s="13" t="str">
        <f aca="false">IF('Checkout Log'!L112&lt;&gt;"Checked Out","",'Checkout Log'!C112)</f>
        <v/>
      </c>
      <c r="C141" s="13" t="str">
        <f aca="false">IF('Checkout Log'!L112&lt;&gt;"Checked Out","",'Checkout Log'!D112)</f>
        <v/>
      </c>
      <c r="D141" s="13" t="str">
        <f aca="false">IF('Checkout Log'!L112&lt;&gt;"Checked Out","",'Checkout Log'!E112)</f>
        <v/>
      </c>
      <c r="E141" s="14" t="str">
        <f aca="false">IF('Checkout Log'!L112&lt;&gt;"Checked Out","",'Checkout Log'!H112)</f>
        <v/>
      </c>
      <c r="F141" s="14" t="str">
        <f aca="false">IF('Checkout Log'!L112&lt;&gt;"Checked Out","",'Checkout Log'!I112)</f>
        <v/>
      </c>
    </row>
    <row r="142" customFormat="false" ht="15" hidden="false" customHeight="false" outlineLevel="0" collapsed="false">
      <c r="A142" s="11" t="str">
        <f aca="false">IF('Checkout Log'!$L113&lt;&gt;"Checked Out","",'Checkout Log'!$A113)</f>
        <v/>
      </c>
      <c r="B142" s="11" t="str">
        <f aca="false">IF('Checkout Log'!L113&lt;&gt;"Checked Out","",'Checkout Log'!C113)</f>
        <v/>
      </c>
      <c r="C142" s="11" t="str">
        <f aca="false">IF('Checkout Log'!L113&lt;&gt;"Checked Out","",'Checkout Log'!D113)</f>
        <v/>
      </c>
      <c r="D142" s="11" t="str">
        <f aca="false">IF('Checkout Log'!L113&lt;&gt;"Checked Out","",'Checkout Log'!E113)</f>
        <v/>
      </c>
      <c r="E142" s="12" t="str">
        <f aca="false">IF('Checkout Log'!L113&lt;&gt;"Checked Out","",'Checkout Log'!H113)</f>
        <v/>
      </c>
      <c r="F142" s="12" t="str">
        <f aca="false">IF('Checkout Log'!L113&lt;&gt;"Checked Out","",'Checkout Log'!I113)</f>
        <v/>
      </c>
    </row>
    <row r="143" customFormat="false" ht="15" hidden="false" customHeight="false" outlineLevel="0" collapsed="false">
      <c r="A143" s="13" t="str">
        <f aca="false">IF('Checkout Log'!$L114&lt;&gt;"Checked Out","",'Checkout Log'!$A114)</f>
        <v/>
      </c>
      <c r="B143" s="13" t="str">
        <f aca="false">IF('Checkout Log'!L114&lt;&gt;"Checked Out","",'Checkout Log'!C114)</f>
        <v/>
      </c>
      <c r="C143" s="13" t="str">
        <f aca="false">IF('Checkout Log'!L114&lt;&gt;"Checked Out","",'Checkout Log'!D114)</f>
        <v/>
      </c>
      <c r="D143" s="13" t="str">
        <f aca="false">IF('Checkout Log'!L114&lt;&gt;"Checked Out","",'Checkout Log'!E114)</f>
        <v/>
      </c>
      <c r="E143" s="14" t="str">
        <f aca="false">IF('Checkout Log'!L114&lt;&gt;"Checked Out","",'Checkout Log'!H114)</f>
        <v/>
      </c>
      <c r="F143" s="14" t="str">
        <f aca="false">IF('Checkout Log'!L114&lt;&gt;"Checked Out","",'Checkout Log'!I114)</f>
        <v/>
      </c>
    </row>
    <row r="144" customFormat="false" ht="15" hidden="false" customHeight="false" outlineLevel="0" collapsed="false">
      <c r="A144" s="11" t="str">
        <f aca="false">IF('Checkout Log'!$L115&lt;&gt;"Checked Out","",'Checkout Log'!$A115)</f>
        <v/>
      </c>
      <c r="B144" s="11" t="str">
        <f aca="false">IF('Checkout Log'!L115&lt;&gt;"Checked Out","",'Checkout Log'!C115)</f>
        <v/>
      </c>
      <c r="C144" s="11" t="str">
        <f aca="false">IF('Checkout Log'!L115&lt;&gt;"Checked Out","",'Checkout Log'!D115)</f>
        <v/>
      </c>
      <c r="D144" s="11" t="str">
        <f aca="false">IF('Checkout Log'!L115&lt;&gt;"Checked Out","",'Checkout Log'!E115)</f>
        <v/>
      </c>
      <c r="E144" s="12" t="str">
        <f aca="false">IF('Checkout Log'!L115&lt;&gt;"Checked Out","",'Checkout Log'!H115)</f>
        <v/>
      </c>
      <c r="F144" s="12" t="str">
        <f aca="false">IF('Checkout Log'!L115&lt;&gt;"Checked Out","",'Checkout Log'!I115)</f>
        <v/>
      </c>
    </row>
    <row r="145" customFormat="false" ht="15" hidden="false" customHeight="false" outlineLevel="0" collapsed="false">
      <c r="A145" s="13" t="str">
        <f aca="false">IF('Checkout Log'!$L116&lt;&gt;"Checked Out","",'Checkout Log'!$A116)</f>
        <v/>
      </c>
      <c r="B145" s="13" t="str">
        <f aca="false">IF('Checkout Log'!L116&lt;&gt;"Checked Out","",'Checkout Log'!C116)</f>
        <v/>
      </c>
      <c r="C145" s="13" t="str">
        <f aca="false">IF('Checkout Log'!L116&lt;&gt;"Checked Out","",'Checkout Log'!D116)</f>
        <v/>
      </c>
      <c r="D145" s="13" t="str">
        <f aca="false">IF('Checkout Log'!L116&lt;&gt;"Checked Out","",'Checkout Log'!E116)</f>
        <v/>
      </c>
      <c r="E145" s="14" t="str">
        <f aca="false">IF('Checkout Log'!L116&lt;&gt;"Checked Out","",'Checkout Log'!H116)</f>
        <v/>
      </c>
      <c r="F145" s="14" t="str">
        <f aca="false">IF('Checkout Log'!L116&lt;&gt;"Checked Out","",'Checkout Log'!I116)</f>
        <v/>
      </c>
    </row>
    <row r="146" customFormat="false" ht="15" hidden="false" customHeight="false" outlineLevel="0" collapsed="false">
      <c r="A146" s="11" t="str">
        <f aca="false">IF('Checkout Log'!$L117&lt;&gt;"Checked Out","",'Checkout Log'!$A117)</f>
        <v/>
      </c>
      <c r="B146" s="11" t="str">
        <f aca="false">IF('Checkout Log'!L117&lt;&gt;"Checked Out","",'Checkout Log'!C117)</f>
        <v/>
      </c>
      <c r="C146" s="11" t="str">
        <f aca="false">IF('Checkout Log'!L117&lt;&gt;"Checked Out","",'Checkout Log'!D117)</f>
        <v/>
      </c>
      <c r="D146" s="11" t="str">
        <f aca="false">IF('Checkout Log'!L117&lt;&gt;"Checked Out","",'Checkout Log'!E117)</f>
        <v/>
      </c>
      <c r="E146" s="12" t="str">
        <f aca="false">IF('Checkout Log'!L117&lt;&gt;"Checked Out","",'Checkout Log'!H117)</f>
        <v/>
      </c>
      <c r="F146" s="12" t="str">
        <f aca="false">IF('Checkout Log'!L117&lt;&gt;"Checked Out","",'Checkout Log'!I117)</f>
        <v/>
      </c>
    </row>
    <row r="147" customFormat="false" ht="15" hidden="false" customHeight="false" outlineLevel="0" collapsed="false">
      <c r="A147" s="13" t="str">
        <f aca="false">IF('Checkout Log'!$L118&lt;&gt;"Checked Out","",'Checkout Log'!$A118)</f>
        <v/>
      </c>
      <c r="B147" s="13" t="str">
        <f aca="false">IF('Checkout Log'!L118&lt;&gt;"Checked Out","",'Checkout Log'!C118)</f>
        <v/>
      </c>
      <c r="C147" s="13" t="str">
        <f aca="false">IF('Checkout Log'!L118&lt;&gt;"Checked Out","",'Checkout Log'!D118)</f>
        <v/>
      </c>
      <c r="D147" s="13" t="str">
        <f aca="false">IF('Checkout Log'!L118&lt;&gt;"Checked Out","",'Checkout Log'!E118)</f>
        <v/>
      </c>
      <c r="E147" s="14" t="str">
        <f aca="false">IF('Checkout Log'!L118&lt;&gt;"Checked Out","",'Checkout Log'!H118)</f>
        <v/>
      </c>
      <c r="F147" s="14" t="str">
        <f aca="false">IF('Checkout Log'!L118&lt;&gt;"Checked Out","",'Checkout Log'!I118)</f>
        <v/>
      </c>
    </row>
    <row r="148" customFormat="false" ht="15" hidden="false" customHeight="false" outlineLevel="0" collapsed="false">
      <c r="A148" s="11" t="str">
        <f aca="false">IF('Checkout Log'!$L119&lt;&gt;"Checked Out","",'Checkout Log'!$A119)</f>
        <v/>
      </c>
      <c r="B148" s="11" t="str">
        <f aca="false">IF('Checkout Log'!L119&lt;&gt;"Checked Out","",'Checkout Log'!C119)</f>
        <v/>
      </c>
      <c r="C148" s="11" t="str">
        <f aca="false">IF('Checkout Log'!L119&lt;&gt;"Checked Out","",'Checkout Log'!D119)</f>
        <v/>
      </c>
      <c r="D148" s="11" t="str">
        <f aca="false">IF('Checkout Log'!L119&lt;&gt;"Checked Out","",'Checkout Log'!E119)</f>
        <v/>
      </c>
      <c r="E148" s="12" t="str">
        <f aca="false">IF('Checkout Log'!L119&lt;&gt;"Checked Out","",'Checkout Log'!H119)</f>
        <v/>
      </c>
      <c r="F148" s="12" t="str">
        <f aca="false">IF('Checkout Log'!L119&lt;&gt;"Checked Out","",'Checkout Log'!I119)</f>
        <v/>
      </c>
    </row>
    <row r="149" customFormat="false" ht="15" hidden="false" customHeight="false" outlineLevel="0" collapsed="false">
      <c r="A149" s="13" t="str">
        <f aca="false">IF('Checkout Log'!$L120&lt;&gt;"Checked Out","",'Checkout Log'!$A120)</f>
        <v/>
      </c>
      <c r="B149" s="13" t="str">
        <f aca="false">IF('Checkout Log'!L120&lt;&gt;"Checked Out","",'Checkout Log'!C120)</f>
        <v/>
      </c>
      <c r="C149" s="13" t="str">
        <f aca="false">IF('Checkout Log'!L120&lt;&gt;"Checked Out","",'Checkout Log'!D120)</f>
        <v/>
      </c>
      <c r="D149" s="13" t="str">
        <f aca="false">IF('Checkout Log'!L120&lt;&gt;"Checked Out","",'Checkout Log'!E120)</f>
        <v/>
      </c>
      <c r="E149" s="14" t="str">
        <f aca="false">IF('Checkout Log'!L120&lt;&gt;"Checked Out","",'Checkout Log'!H120)</f>
        <v/>
      </c>
      <c r="F149" s="14" t="str">
        <f aca="false">IF('Checkout Log'!L120&lt;&gt;"Checked Out","",'Checkout Log'!I120)</f>
        <v/>
      </c>
    </row>
    <row r="150" customFormat="false" ht="15" hidden="false" customHeight="false" outlineLevel="0" collapsed="false">
      <c r="A150" s="11" t="str">
        <f aca="false">IF('Checkout Log'!$L121&lt;&gt;"Checked Out","",'Checkout Log'!$A121)</f>
        <v/>
      </c>
      <c r="B150" s="11" t="str">
        <f aca="false">IF('Checkout Log'!L121&lt;&gt;"Checked Out","",'Checkout Log'!C121)</f>
        <v/>
      </c>
      <c r="C150" s="11" t="str">
        <f aca="false">IF('Checkout Log'!L121&lt;&gt;"Checked Out","",'Checkout Log'!D121)</f>
        <v/>
      </c>
      <c r="D150" s="11" t="str">
        <f aca="false">IF('Checkout Log'!L121&lt;&gt;"Checked Out","",'Checkout Log'!E121)</f>
        <v/>
      </c>
      <c r="E150" s="12" t="str">
        <f aca="false">IF('Checkout Log'!L121&lt;&gt;"Checked Out","",'Checkout Log'!H121)</f>
        <v/>
      </c>
      <c r="F150" s="12" t="str">
        <f aca="false">IF('Checkout Log'!L121&lt;&gt;"Checked Out","",'Checkout Log'!I121)</f>
        <v/>
      </c>
    </row>
    <row r="151" customFormat="false" ht="15" hidden="false" customHeight="false" outlineLevel="0" collapsed="false">
      <c r="A151" s="13" t="str">
        <f aca="false">IF('Checkout Log'!$L122&lt;&gt;"Checked Out","",'Checkout Log'!$A122)</f>
        <v/>
      </c>
      <c r="B151" s="13" t="str">
        <f aca="false">IF('Checkout Log'!L122&lt;&gt;"Checked Out","",'Checkout Log'!C122)</f>
        <v/>
      </c>
      <c r="C151" s="13" t="str">
        <f aca="false">IF('Checkout Log'!L122&lt;&gt;"Checked Out","",'Checkout Log'!D122)</f>
        <v/>
      </c>
      <c r="D151" s="13" t="str">
        <f aca="false">IF('Checkout Log'!L122&lt;&gt;"Checked Out","",'Checkout Log'!E122)</f>
        <v/>
      </c>
      <c r="E151" s="14" t="str">
        <f aca="false">IF('Checkout Log'!L122&lt;&gt;"Checked Out","",'Checkout Log'!H122)</f>
        <v/>
      </c>
      <c r="F151" s="14" t="str">
        <f aca="false">IF('Checkout Log'!L122&lt;&gt;"Checked Out","",'Checkout Log'!I122)</f>
        <v/>
      </c>
    </row>
    <row r="152" customFormat="false" ht="15" hidden="false" customHeight="false" outlineLevel="0" collapsed="false">
      <c r="A152" s="11" t="str">
        <f aca="false">IF('Checkout Log'!$L123&lt;&gt;"Checked Out","",'Checkout Log'!$A123)</f>
        <v/>
      </c>
      <c r="B152" s="11" t="str">
        <f aca="false">IF('Checkout Log'!L123&lt;&gt;"Checked Out","",'Checkout Log'!C123)</f>
        <v/>
      </c>
      <c r="C152" s="11" t="str">
        <f aca="false">IF('Checkout Log'!L123&lt;&gt;"Checked Out","",'Checkout Log'!D123)</f>
        <v/>
      </c>
      <c r="D152" s="11" t="str">
        <f aca="false">IF('Checkout Log'!L123&lt;&gt;"Checked Out","",'Checkout Log'!E123)</f>
        <v/>
      </c>
      <c r="E152" s="12" t="str">
        <f aca="false">IF('Checkout Log'!L123&lt;&gt;"Checked Out","",'Checkout Log'!H123)</f>
        <v/>
      </c>
      <c r="F152" s="12" t="str">
        <f aca="false">IF('Checkout Log'!L123&lt;&gt;"Checked Out","",'Checkout Log'!I123)</f>
        <v/>
      </c>
    </row>
    <row r="153" customFormat="false" ht="15" hidden="false" customHeight="false" outlineLevel="0" collapsed="false">
      <c r="A153" s="13" t="str">
        <f aca="false">IF('Checkout Log'!$L124&lt;&gt;"Checked Out","",'Checkout Log'!$A124)</f>
        <v/>
      </c>
      <c r="B153" s="13" t="str">
        <f aca="false">IF('Checkout Log'!L124&lt;&gt;"Checked Out","",'Checkout Log'!C124)</f>
        <v/>
      </c>
      <c r="C153" s="13" t="str">
        <f aca="false">IF('Checkout Log'!L124&lt;&gt;"Checked Out","",'Checkout Log'!D124)</f>
        <v/>
      </c>
      <c r="D153" s="13" t="str">
        <f aca="false">IF('Checkout Log'!L124&lt;&gt;"Checked Out","",'Checkout Log'!E124)</f>
        <v/>
      </c>
      <c r="E153" s="14" t="str">
        <f aca="false">IF('Checkout Log'!L124&lt;&gt;"Checked Out","",'Checkout Log'!H124)</f>
        <v/>
      </c>
      <c r="F153" s="14" t="str">
        <f aca="false">IF('Checkout Log'!L124&lt;&gt;"Checked Out","",'Checkout Log'!I124)</f>
        <v/>
      </c>
    </row>
    <row r="154" customFormat="false" ht="15" hidden="false" customHeight="false" outlineLevel="0" collapsed="false">
      <c r="A154" s="11" t="str">
        <f aca="false">IF('Checkout Log'!$L125&lt;&gt;"Checked Out","",'Checkout Log'!$A125)</f>
        <v/>
      </c>
      <c r="B154" s="11" t="str">
        <f aca="false">IF('Checkout Log'!L125&lt;&gt;"Checked Out","",'Checkout Log'!C125)</f>
        <v/>
      </c>
      <c r="C154" s="11" t="str">
        <f aca="false">IF('Checkout Log'!L125&lt;&gt;"Checked Out","",'Checkout Log'!D125)</f>
        <v/>
      </c>
      <c r="D154" s="11" t="str">
        <f aca="false">IF('Checkout Log'!L125&lt;&gt;"Checked Out","",'Checkout Log'!E125)</f>
        <v/>
      </c>
      <c r="E154" s="12" t="str">
        <f aca="false">IF('Checkout Log'!L125&lt;&gt;"Checked Out","",'Checkout Log'!H125)</f>
        <v/>
      </c>
      <c r="F154" s="12" t="str">
        <f aca="false">IF('Checkout Log'!L125&lt;&gt;"Checked Out","",'Checkout Log'!I125)</f>
        <v/>
      </c>
    </row>
    <row r="155" customFormat="false" ht="15" hidden="false" customHeight="false" outlineLevel="0" collapsed="false">
      <c r="A155" s="13" t="str">
        <f aca="false">IF('Checkout Log'!$L126&lt;&gt;"Checked Out","",'Checkout Log'!$A126)</f>
        <v/>
      </c>
      <c r="B155" s="13" t="str">
        <f aca="false">IF('Checkout Log'!L126&lt;&gt;"Checked Out","",'Checkout Log'!C126)</f>
        <v/>
      </c>
      <c r="C155" s="13" t="str">
        <f aca="false">IF('Checkout Log'!L126&lt;&gt;"Checked Out","",'Checkout Log'!D126)</f>
        <v/>
      </c>
      <c r="D155" s="13" t="str">
        <f aca="false">IF('Checkout Log'!L126&lt;&gt;"Checked Out","",'Checkout Log'!E126)</f>
        <v/>
      </c>
      <c r="E155" s="14" t="str">
        <f aca="false">IF('Checkout Log'!L126&lt;&gt;"Checked Out","",'Checkout Log'!H126)</f>
        <v/>
      </c>
      <c r="F155" s="14" t="str">
        <f aca="false">IF('Checkout Log'!L126&lt;&gt;"Checked Out","",'Checkout Log'!I126)</f>
        <v/>
      </c>
    </row>
    <row r="156" customFormat="false" ht="15" hidden="false" customHeight="false" outlineLevel="0" collapsed="false">
      <c r="A156" s="11" t="str">
        <f aca="false">IF('Checkout Log'!$L127&lt;&gt;"Checked Out","",'Checkout Log'!$A127)</f>
        <v/>
      </c>
      <c r="B156" s="11" t="str">
        <f aca="false">IF('Checkout Log'!L127&lt;&gt;"Checked Out","",'Checkout Log'!C127)</f>
        <v/>
      </c>
      <c r="C156" s="11" t="str">
        <f aca="false">IF('Checkout Log'!L127&lt;&gt;"Checked Out","",'Checkout Log'!D127)</f>
        <v/>
      </c>
      <c r="D156" s="11" t="str">
        <f aca="false">IF('Checkout Log'!L127&lt;&gt;"Checked Out","",'Checkout Log'!E127)</f>
        <v/>
      </c>
      <c r="E156" s="12" t="str">
        <f aca="false">IF('Checkout Log'!L127&lt;&gt;"Checked Out","",'Checkout Log'!H127)</f>
        <v/>
      </c>
      <c r="F156" s="12" t="str">
        <f aca="false">IF('Checkout Log'!L127&lt;&gt;"Checked Out","",'Checkout Log'!I127)</f>
        <v/>
      </c>
    </row>
    <row r="157" customFormat="false" ht="15" hidden="false" customHeight="false" outlineLevel="0" collapsed="false">
      <c r="A157" s="13" t="str">
        <f aca="false">IF('Checkout Log'!$L128&lt;&gt;"Checked Out","",'Checkout Log'!$A128)</f>
        <v/>
      </c>
      <c r="B157" s="13" t="str">
        <f aca="false">IF('Checkout Log'!L128&lt;&gt;"Checked Out","",'Checkout Log'!C128)</f>
        <v/>
      </c>
      <c r="C157" s="13" t="str">
        <f aca="false">IF('Checkout Log'!L128&lt;&gt;"Checked Out","",'Checkout Log'!D128)</f>
        <v/>
      </c>
      <c r="D157" s="13" t="str">
        <f aca="false">IF('Checkout Log'!L128&lt;&gt;"Checked Out","",'Checkout Log'!E128)</f>
        <v/>
      </c>
      <c r="E157" s="14" t="str">
        <f aca="false">IF('Checkout Log'!L128&lt;&gt;"Checked Out","",'Checkout Log'!H128)</f>
        <v/>
      </c>
      <c r="F157" s="14" t="str">
        <f aca="false">IF('Checkout Log'!L128&lt;&gt;"Checked Out","",'Checkout Log'!I128)</f>
        <v/>
      </c>
    </row>
    <row r="158" customFormat="false" ht="15" hidden="false" customHeight="false" outlineLevel="0" collapsed="false">
      <c r="A158" s="11" t="str">
        <f aca="false">IF('Checkout Log'!$L129&lt;&gt;"Checked Out","",'Checkout Log'!$A129)</f>
        <v/>
      </c>
      <c r="B158" s="11" t="str">
        <f aca="false">IF('Checkout Log'!L129&lt;&gt;"Checked Out","",'Checkout Log'!C129)</f>
        <v/>
      </c>
      <c r="C158" s="11" t="str">
        <f aca="false">IF('Checkout Log'!L129&lt;&gt;"Checked Out","",'Checkout Log'!D129)</f>
        <v/>
      </c>
      <c r="D158" s="11" t="str">
        <f aca="false">IF('Checkout Log'!L129&lt;&gt;"Checked Out","",'Checkout Log'!E129)</f>
        <v/>
      </c>
      <c r="E158" s="12" t="str">
        <f aca="false">IF('Checkout Log'!L129&lt;&gt;"Checked Out","",'Checkout Log'!H129)</f>
        <v/>
      </c>
      <c r="F158" s="12" t="str">
        <f aca="false">IF('Checkout Log'!L129&lt;&gt;"Checked Out","",'Checkout Log'!I129)</f>
        <v/>
      </c>
    </row>
    <row r="159" customFormat="false" ht="15" hidden="false" customHeight="false" outlineLevel="0" collapsed="false">
      <c r="A159" s="13" t="str">
        <f aca="false">IF('Checkout Log'!$L130&lt;&gt;"Checked Out","",'Checkout Log'!$A130)</f>
        <v/>
      </c>
      <c r="B159" s="13" t="str">
        <f aca="false">IF('Checkout Log'!L130&lt;&gt;"Checked Out","",'Checkout Log'!C130)</f>
        <v/>
      </c>
      <c r="C159" s="13" t="str">
        <f aca="false">IF('Checkout Log'!L130&lt;&gt;"Checked Out","",'Checkout Log'!D130)</f>
        <v/>
      </c>
      <c r="D159" s="13" t="str">
        <f aca="false">IF('Checkout Log'!L130&lt;&gt;"Checked Out","",'Checkout Log'!E130)</f>
        <v/>
      </c>
      <c r="E159" s="14" t="str">
        <f aca="false">IF('Checkout Log'!L130&lt;&gt;"Checked Out","",'Checkout Log'!H130)</f>
        <v/>
      </c>
      <c r="F159" s="14" t="str">
        <f aca="false">IF('Checkout Log'!L130&lt;&gt;"Checked Out","",'Checkout Log'!I130)</f>
        <v/>
      </c>
    </row>
    <row r="160" customFormat="false" ht="15" hidden="false" customHeight="false" outlineLevel="0" collapsed="false">
      <c r="A160" s="11" t="str">
        <f aca="false">IF('Checkout Log'!$L131&lt;&gt;"Checked Out","",'Checkout Log'!$A131)</f>
        <v/>
      </c>
      <c r="B160" s="11" t="str">
        <f aca="false">IF('Checkout Log'!L131&lt;&gt;"Checked Out","",'Checkout Log'!C131)</f>
        <v/>
      </c>
      <c r="C160" s="11" t="str">
        <f aca="false">IF('Checkout Log'!L131&lt;&gt;"Checked Out","",'Checkout Log'!D131)</f>
        <v/>
      </c>
      <c r="D160" s="11" t="str">
        <f aca="false">IF('Checkout Log'!L131&lt;&gt;"Checked Out","",'Checkout Log'!E131)</f>
        <v/>
      </c>
      <c r="E160" s="12" t="str">
        <f aca="false">IF('Checkout Log'!L131&lt;&gt;"Checked Out","",'Checkout Log'!H131)</f>
        <v/>
      </c>
      <c r="F160" s="12" t="str">
        <f aca="false">IF('Checkout Log'!L131&lt;&gt;"Checked Out","",'Checkout Log'!I131)</f>
        <v/>
      </c>
    </row>
    <row r="161" customFormat="false" ht="15" hidden="false" customHeight="false" outlineLevel="0" collapsed="false">
      <c r="A161" s="13" t="str">
        <f aca="false">IF('Checkout Log'!$L132&lt;&gt;"Checked Out","",'Checkout Log'!$A132)</f>
        <v/>
      </c>
      <c r="B161" s="13" t="str">
        <f aca="false">IF('Checkout Log'!L132&lt;&gt;"Checked Out","",'Checkout Log'!C132)</f>
        <v/>
      </c>
      <c r="C161" s="13" t="str">
        <f aca="false">IF('Checkout Log'!L132&lt;&gt;"Checked Out","",'Checkout Log'!D132)</f>
        <v/>
      </c>
      <c r="D161" s="13" t="str">
        <f aca="false">IF('Checkout Log'!L132&lt;&gt;"Checked Out","",'Checkout Log'!E132)</f>
        <v/>
      </c>
      <c r="E161" s="14" t="str">
        <f aca="false">IF('Checkout Log'!L132&lt;&gt;"Checked Out","",'Checkout Log'!H132)</f>
        <v/>
      </c>
      <c r="F161" s="14" t="str">
        <f aca="false">IF('Checkout Log'!L132&lt;&gt;"Checked Out","",'Checkout Log'!I132)</f>
        <v/>
      </c>
    </row>
    <row r="162" customFormat="false" ht="15" hidden="false" customHeight="false" outlineLevel="0" collapsed="false">
      <c r="A162" s="11" t="str">
        <f aca="false">IF('Checkout Log'!$L133&lt;&gt;"Checked Out","",'Checkout Log'!$A133)</f>
        <v/>
      </c>
      <c r="B162" s="11" t="str">
        <f aca="false">IF('Checkout Log'!L133&lt;&gt;"Checked Out","",'Checkout Log'!C133)</f>
        <v/>
      </c>
      <c r="C162" s="11" t="str">
        <f aca="false">IF('Checkout Log'!L133&lt;&gt;"Checked Out","",'Checkout Log'!D133)</f>
        <v/>
      </c>
      <c r="D162" s="11" t="str">
        <f aca="false">IF('Checkout Log'!L133&lt;&gt;"Checked Out","",'Checkout Log'!E133)</f>
        <v/>
      </c>
      <c r="E162" s="12" t="str">
        <f aca="false">IF('Checkout Log'!L133&lt;&gt;"Checked Out","",'Checkout Log'!H133)</f>
        <v/>
      </c>
      <c r="F162" s="12" t="str">
        <f aca="false">IF('Checkout Log'!L133&lt;&gt;"Checked Out","",'Checkout Log'!I133)</f>
        <v/>
      </c>
    </row>
    <row r="163" customFormat="false" ht="15" hidden="false" customHeight="false" outlineLevel="0" collapsed="false">
      <c r="A163" s="13" t="str">
        <f aca="false">IF('Checkout Log'!$L134&lt;&gt;"Checked Out","",'Checkout Log'!$A134)</f>
        <v/>
      </c>
      <c r="B163" s="13" t="str">
        <f aca="false">IF('Checkout Log'!L134&lt;&gt;"Checked Out","",'Checkout Log'!C134)</f>
        <v/>
      </c>
      <c r="C163" s="13" t="str">
        <f aca="false">IF('Checkout Log'!L134&lt;&gt;"Checked Out","",'Checkout Log'!D134)</f>
        <v/>
      </c>
      <c r="D163" s="13" t="str">
        <f aca="false">IF('Checkout Log'!L134&lt;&gt;"Checked Out","",'Checkout Log'!E134)</f>
        <v/>
      </c>
      <c r="E163" s="14" t="str">
        <f aca="false">IF('Checkout Log'!L134&lt;&gt;"Checked Out","",'Checkout Log'!H134)</f>
        <v/>
      </c>
      <c r="F163" s="14" t="str">
        <f aca="false">IF('Checkout Log'!L134&lt;&gt;"Checked Out","",'Checkout Log'!I134)</f>
        <v/>
      </c>
    </row>
    <row r="164" customFormat="false" ht="15" hidden="false" customHeight="false" outlineLevel="0" collapsed="false">
      <c r="A164" s="11" t="str">
        <f aca="false">IF('Checkout Log'!$L135&lt;&gt;"Checked Out","",'Checkout Log'!$A135)</f>
        <v/>
      </c>
      <c r="B164" s="11" t="str">
        <f aca="false">IF('Checkout Log'!L135&lt;&gt;"Checked Out","",'Checkout Log'!C135)</f>
        <v/>
      </c>
      <c r="C164" s="11" t="str">
        <f aca="false">IF('Checkout Log'!L135&lt;&gt;"Checked Out","",'Checkout Log'!D135)</f>
        <v/>
      </c>
      <c r="D164" s="11" t="str">
        <f aca="false">IF('Checkout Log'!L135&lt;&gt;"Checked Out","",'Checkout Log'!E135)</f>
        <v/>
      </c>
      <c r="E164" s="12" t="str">
        <f aca="false">IF('Checkout Log'!L135&lt;&gt;"Checked Out","",'Checkout Log'!H135)</f>
        <v/>
      </c>
      <c r="F164" s="12" t="str">
        <f aca="false">IF('Checkout Log'!L135&lt;&gt;"Checked Out","",'Checkout Log'!I135)</f>
        <v/>
      </c>
    </row>
    <row r="165" customFormat="false" ht="15" hidden="false" customHeight="false" outlineLevel="0" collapsed="false">
      <c r="A165" s="13" t="str">
        <f aca="false">IF('Checkout Log'!$L136&lt;&gt;"Checked Out","",'Checkout Log'!$A136)</f>
        <v/>
      </c>
      <c r="B165" s="13" t="str">
        <f aca="false">IF('Checkout Log'!L136&lt;&gt;"Checked Out","",'Checkout Log'!C136)</f>
        <v/>
      </c>
      <c r="C165" s="13" t="str">
        <f aca="false">IF('Checkout Log'!L136&lt;&gt;"Checked Out","",'Checkout Log'!D136)</f>
        <v/>
      </c>
      <c r="D165" s="13" t="str">
        <f aca="false">IF('Checkout Log'!L136&lt;&gt;"Checked Out","",'Checkout Log'!E136)</f>
        <v/>
      </c>
      <c r="E165" s="14" t="str">
        <f aca="false">IF('Checkout Log'!L136&lt;&gt;"Checked Out","",'Checkout Log'!H136)</f>
        <v/>
      </c>
      <c r="F165" s="14" t="str">
        <f aca="false">IF('Checkout Log'!L136&lt;&gt;"Checked Out","",'Checkout Log'!I136)</f>
        <v/>
      </c>
    </row>
    <row r="166" customFormat="false" ht="15" hidden="false" customHeight="false" outlineLevel="0" collapsed="false">
      <c r="A166" s="11" t="str">
        <f aca="false">IF('Checkout Log'!$L137&lt;&gt;"Checked Out","",'Checkout Log'!$A137)</f>
        <v/>
      </c>
      <c r="B166" s="11" t="str">
        <f aca="false">IF('Checkout Log'!L137&lt;&gt;"Checked Out","",'Checkout Log'!C137)</f>
        <v/>
      </c>
      <c r="C166" s="11" t="str">
        <f aca="false">IF('Checkout Log'!L137&lt;&gt;"Checked Out","",'Checkout Log'!D137)</f>
        <v/>
      </c>
      <c r="D166" s="11" t="str">
        <f aca="false">IF('Checkout Log'!L137&lt;&gt;"Checked Out","",'Checkout Log'!E137)</f>
        <v/>
      </c>
      <c r="E166" s="12" t="str">
        <f aca="false">IF('Checkout Log'!L137&lt;&gt;"Checked Out","",'Checkout Log'!H137)</f>
        <v/>
      </c>
      <c r="F166" s="12" t="str">
        <f aca="false">IF('Checkout Log'!L137&lt;&gt;"Checked Out","",'Checkout Log'!I137)</f>
        <v/>
      </c>
    </row>
    <row r="167" customFormat="false" ht="15" hidden="false" customHeight="false" outlineLevel="0" collapsed="false">
      <c r="A167" s="13" t="str">
        <f aca="false">IF('Checkout Log'!$L138&lt;&gt;"Checked Out","",'Checkout Log'!$A138)</f>
        <v/>
      </c>
      <c r="B167" s="13" t="str">
        <f aca="false">IF('Checkout Log'!L138&lt;&gt;"Checked Out","",'Checkout Log'!C138)</f>
        <v/>
      </c>
      <c r="C167" s="13" t="str">
        <f aca="false">IF('Checkout Log'!L138&lt;&gt;"Checked Out","",'Checkout Log'!D138)</f>
        <v/>
      </c>
      <c r="D167" s="13" t="str">
        <f aca="false">IF('Checkout Log'!L138&lt;&gt;"Checked Out","",'Checkout Log'!E138)</f>
        <v/>
      </c>
      <c r="E167" s="14" t="str">
        <f aca="false">IF('Checkout Log'!L138&lt;&gt;"Checked Out","",'Checkout Log'!H138)</f>
        <v/>
      </c>
      <c r="F167" s="14" t="str">
        <f aca="false">IF('Checkout Log'!L138&lt;&gt;"Checked Out","",'Checkout Log'!I138)</f>
        <v/>
      </c>
    </row>
    <row r="168" customFormat="false" ht="15" hidden="false" customHeight="false" outlineLevel="0" collapsed="false">
      <c r="A168" s="11" t="str">
        <f aca="false">IF('Checkout Log'!$L139&lt;&gt;"Checked Out","",'Checkout Log'!$A139)</f>
        <v/>
      </c>
      <c r="B168" s="11" t="str">
        <f aca="false">IF('Checkout Log'!L139&lt;&gt;"Checked Out","",'Checkout Log'!C139)</f>
        <v/>
      </c>
      <c r="C168" s="11" t="str">
        <f aca="false">IF('Checkout Log'!L139&lt;&gt;"Checked Out","",'Checkout Log'!D139)</f>
        <v/>
      </c>
      <c r="D168" s="11" t="str">
        <f aca="false">IF('Checkout Log'!L139&lt;&gt;"Checked Out","",'Checkout Log'!E139)</f>
        <v/>
      </c>
      <c r="E168" s="12" t="str">
        <f aca="false">IF('Checkout Log'!L139&lt;&gt;"Checked Out","",'Checkout Log'!H139)</f>
        <v/>
      </c>
      <c r="F168" s="12" t="str">
        <f aca="false">IF('Checkout Log'!L139&lt;&gt;"Checked Out","",'Checkout Log'!I139)</f>
        <v/>
      </c>
    </row>
    <row r="169" customFormat="false" ht="15" hidden="false" customHeight="false" outlineLevel="0" collapsed="false">
      <c r="A169" s="13" t="str">
        <f aca="false">IF('Checkout Log'!$L140&lt;&gt;"Checked Out","",'Checkout Log'!$A140)</f>
        <v/>
      </c>
      <c r="B169" s="13" t="str">
        <f aca="false">IF('Checkout Log'!L140&lt;&gt;"Checked Out","",'Checkout Log'!C140)</f>
        <v/>
      </c>
      <c r="C169" s="13" t="str">
        <f aca="false">IF('Checkout Log'!L140&lt;&gt;"Checked Out","",'Checkout Log'!D140)</f>
        <v/>
      </c>
      <c r="D169" s="13" t="str">
        <f aca="false">IF('Checkout Log'!L140&lt;&gt;"Checked Out","",'Checkout Log'!E140)</f>
        <v/>
      </c>
      <c r="E169" s="14" t="str">
        <f aca="false">IF('Checkout Log'!L140&lt;&gt;"Checked Out","",'Checkout Log'!H140)</f>
        <v/>
      </c>
      <c r="F169" s="14" t="str">
        <f aca="false">IF('Checkout Log'!L140&lt;&gt;"Checked Out","",'Checkout Log'!I140)</f>
        <v/>
      </c>
    </row>
    <row r="170" customFormat="false" ht="15" hidden="false" customHeight="false" outlineLevel="0" collapsed="false">
      <c r="A170" s="11" t="str">
        <f aca="false">IF('Checkout Log'!$L141&lt;&gt;"Checked Out","",'Checkout Log'!$A141)</f>
        <v/>
      </c>
      <c r="B170" s="11" t="str">
        <f aca="false">IF('Checkout Log'!L141&lt;&gt;"Checked Out","",'Checkout Log'!C141)</f>
        <v/>
      </c>
      <c r="C170" s="11" t="str">
        <f aca="false">IF('Checkout Log'!L141&lt;&gt;"Checked Out","",'Checkout Log'!D141)</f>
        <v/>
      </c>
      <c r="D170" s="11" t="str">
        <f aca="false">IF('Checkout Log'!L141&lt;&gt;"Checked Out","",'Checkout Log'!E141)</f>
        <v/>
      </c>
      <c r="E170" s="12" t="str">
        <f aca="false">IF('Checkout Log'!L141&lt;&gt;"Checked Out","",'Checkout Log'!H141)</f>
        <v/>
      </c>
      <c r="F170" s="12" t="str">
        <f aca="false">IF('Checkout Log'!L141&lt;&gt;"Checked Out","",'Checkout Log'!I141)</f>
        <v/>
      </c>
    </row>
    <row r="171" customFormat="false" ht="15" hidden="false" customHeight="false" outlineLevel="0" collapsed="false">
      <c r="A171" s="13" t="str">
        <f aca="false">IF('Checkout Log'!$L142&lt;&gt;"Checked Out","",'Checkout Log'!$A142)</f>
        <v/>
      </c>
      <c r="B171" s="13" t="str">
        <f aca="false">IF('Checkout Log'!L142&lt;&gt;"Checked Out","",'Checkout Log'!C142)</f>
        <v/>
      </c>
      <c r="C171" s="13" t="str">
        <f aca="false">IF('Checkout Log'!L142&lt;&gt;"Checked Out","",'Checkout Log'!D142)</f>
        <v/>
      </c>
      <c r="D171" s="13" t="str">
        <f aca="false">IF('Checkout Log'!L142&lt;&gt;"Checked Out","",'Checkout Log'!E142)</f>
        <v/>
      </c>
      <c r="E171" s="14" t="str">
        <f aca="false">IF('Checkout Log'!L142&lt;&gt;"Checked Out","",'Checkout Log'!H142)</f>
        <v/>
      </c>
      <c r="F171" s="14" t="str">
        <f aca="false">IF('Checkout Log'!L142&lt;&gt;"Checked Out","",'Checkout Log'!I142)</f>
        <v/>
      </c>
    </row>
    <row r="172" customFormat="false" ht="15" hidden="false" customHeight="false" outlineLevel="0" collapsed="false">
      <c r="A172" s="11" t="str">
        <f aca="false">IF('Checkout Log'!$L143&lt;&gt;"Checked Out","",'Checkout Log'!$A143)</f>
        <v/>
      </c>
      <c r="B172" s="11" t="str">
        <f aca="false">IF('Checkout Log'!L143&lt;&gt;"Checked Out","",'Checkout Log'!C143)</f>
        <v/>
      </c>
      <c r="C172" s="11" t="str">
        <f aca="false">IF('Checkout Log'!L143&lt;&gt;"Checked Out","",'Checkout Log'!D143)</f>
        <v/>
      </c>
      <c r="D172" s="11" t="str">
        <f aca="false">IF('Checkout Log'!L143&lt;&gt;"Checked Out","",'Checkout Log'!E143)</f>
        <v/>
      </c>
      <c r="E172" s="12" t="str">
        <f aca="false">IF('Checkout Log'!L143&lt;&gt;"Checked Out","",'Checkout Log'!H143)</f>
        <v/>
      </c>
      <c r="F172" s="12" t="str">
        <f aca="false">IF('Checkout Log'!L143&lt;&gt;"Checked Out","",'Checkout Log'!I143)</f>
        <v/>
      </c>
    </row>
    <row r="173" customFormat="false" ht="15" hidden="false" customHeight="false" outlineLevel="0" collapsed="false">
      <c r="A173" s="13" t="str">
        <f aca="false">IF('Checkout Log'!$L144&lt;&gt;"Checked Out","",'Checkout Log'!$A144)</f>
        <v/>
      </c>
      <c r="B173" s="13" t="str">
        <f aca="false">IF('Checkout Log'!L144&lt;&gt;"Checked Out","",'Checkout Log'!C144)</f>
        <v/>
      </c>
      <c r="C173" s="13" t="str">
        <f aca="false">IF('Checkout Log'!L144&lt;&gt;"Checked Out","",'Checkout Log'!D144)</f>
        <v/>
      </c>
      <c r="D173" s="13" t="str">
        <f aca="false">IF('Checkout Log'!L144&lt;&gt;"Checked Out","",'Checkout Log'!E144)</f>
        <v/>
      </c>
      <c r="E173" s="14" t="str">
        <f aca="false">IF('Checkout Log'!L144&lt;&gt;"Checked Out","",'Checkout Log'!H144)</f>
        <v/>
      </c>
      <c r="F173" s="14" t="str">
        <f aca="false">IF('Checkout Log'!L144&lt;&gt;"Checked Out","",'Checkout Log'!I144)</f>
        <v/>
      </c>
    </row>
    <row r="174" customFormat="false" ht="15" hidden="false" customHeight="false" outlineLevel="0" collapsed="false">
      <c r="A174" s="11" t="str">
        <f aca="false">IF('Checkout Log'!$L145&lt;&gt;"Checked Out","",'Checkout Log'!$A145)</f>
        <v/>
      </c>
      <c r="B174" s="11" t="str">
        <f aca="false">IF('Checkout Log'!L145&lt;&gt;"Checked Out","",'Checkout Log'!C145)</f>
        <v/>
      </c>
      <c r="C174" s="11" t="str">
        <f aca="false">IF('Checkout Log'!L145&lt;&gt;"Checked Out","",'Checkout Log'!D145)</f>
        <v/>
      </c>
      <c r="D174" s="11" t="str">
        <f aca="false">IF('Checkout Log'!L145&lt;&gt;"Checked Out","",'Checkout Log'!E145)</f>
        <v/>
      </c>
      <c r="E174" s="12" t="str">
        <f aca="false">IF('Checkout Log'!L145&lt;&gt;"Checked Out","",'Checkout Log'!H145)</f>
        <v/>
      </c>
      <c r="F174" s="12" t="str">
        <f aca="false">IF('Checkout Log'!L145&lt;&gt;"Checked Out","",'Checkout Log'!I145)</f>
        <v/>
      </c>
    </row>
    <row r="175" customFormat="false" ht="15" hidden="false" customHeight="false" outlineLevel="0" collapsed="false">
      <c r="A175" s="13" t="str">
        <f aca="false">IF('Checkout Log'!$L146&lt;&gt;"Checked Out","",'Checkout Log'!$A146)</f>
        <v/>
      </c>
      <c r="B175" s="13" t="str">
        <f aca="false">IF('Checkout Log'!L146&lt;&gt;"Checked Out","",'Checkout Log'!C146)</f>
        <v/>
      </c>
      <c r="C175" s="13" t="str">
        <f aca="false">IF('Checkout Log'!L146&lt;&gt;"Checked Out","",'Checkout Log'!D146)</f>
        <v/>
      </c>
      <c r="D175" s="13" t="str">
        <f aca="false">IF('Checkout Log'!L146&lt;&gt;"Checked Out","",'Checkout Log'!E146)</f>
        <v/>
      </c>
      <c r="E175" s="14" t="str">
        <f aca="false">IF('Checkout Log'!L146&lt;&gt;"Checked Out","",'Checkout Log'!H146)</f>
        <v/>
      </c>
      <c r="F175" s="14" t="str">
        <f aca="false">IF('Checkout Log'!L146&lt;&gt;"Checked Out","",'Checkout Log'!I146)</f>
        <v/>
      </c>
    </row>
    <row r="176" customFormat="false" ht="15" hidden="false" customHeight="false" outlineLevel="0" collapsed="false">
      <c r="A176" s="11" t="str">
        <f aca="false">IF('Checkout Log'!$L147&lt;&gt;"Checked Out","",'Checkout Log'!$A147)</f>
        <v/>
      </c>
      <c r="B176" s="11" t="str">
        <f aca="false">IF('Checkout Log'!L147&lt;&gt;"Checked Out","",'Checkout Log'!C147)</f>
        <v/>
      </c>
      <c r="C176" s="11" t="str">
        <f aca="false">IF('Checkout Log'!L147&lt;&gt;"Checked Out","",'Checkout Log'!D147)</f>
        <v/>
      </c>
      <c r="D176" s="11" t="str">
        <f aca="false">IF('Checkout Log'!L147&lt;&gt;"Checked Out","",'Checkout Log'!E147)</f>
        <v/>
      </c>
      <c r="E176" s="12" t="str">
        <f aca="false">IF('Checkout Log'!L147&lt;&gt;"Checked Out","",'Checkout Log'!H147)</f>
        <v/>
      </c>
      <c r="F176" s="12" t="str">
        <f aca="false">IF('Checkout Log'!L147&lt;&gt;"Checked Out","",'Checkout Log'!I147)</f>
        <v/>
      </c>
    </row>
    <row r="177" customFormat="false" ht="15" hidden="false" customHeight="false" outlineLevel="0" collapsed="false">
      <c r="A177" s="13" t="str">
        <f aca="false">IF('Checkout Log'!$L148&lt;&gt;"Checked Out","",'Checkout Log'!$A148)</f>
        <v/>
      </c>
      <c r="B177" s="13" t="str">
        <f aca="false">IF('Checkout Log'!L148&lt;&gt;"Checked Out","",'Checkout Log'!C148)</f>
        <v/>
      </c>
      <c r="C177" s="13" t="str">
        <f aca="false">IF('Checkout Log'!L148&lt;&gt;"Checked Out","",'Checkout Log'!D148)</f>
        <v/>
      </c>
      <c r="D177" s="13" t="str">
        <f aca="false">IF('Checkout Log'!L148&lt;&gt;"Checked Out","",'Checkout Log'!E148)</f>
        <v/>
      </c>
      <c r="E177" s="14" t="str">
        <f aca="false">IF('Checkout Log'!L148&lt;&gt;"Checked Out","",'Checkout Log'!H148)</f>
        <v/>
      </c>
      <c r="F177" s="14" t="str">
        <f aca="false">IF('Checkout Log'!L148&lt;&gt;"Checked Out","",'Checkout Log'!I148)</f>
        <v/>
      </c>
    </row>
    <row r="178" customFormat="false" ht="15" hidden="false" customHeight="false" outlineLevel="0" collapsed="false">
      <c r="A178" s="11" t="str">
        <f aca="false">IF('Checkout Log'!$L149&lt;&gt;"Checked Out","",'Checkout Log'!$A149)</f>
        <v/>
      </c>
      <c r="B178" s="11" t="str">
        <f aca="false">IF('Checkout Log'!L149&lt;&gt;"Checked Out","",'Checkout Log'!C149)</f>
        <v/>
      </c>
      <c r="C178" s="11" t="str">
        <f aca="false">IF('Checkout Log'!L149&lt;&gt;"Checked Out","",'Checkout Log'!D149)</f>
        <v/>
      </c>
      <c r="D178" s="11" t="str">
        <f aca="false">IF('Checkout Log'!L149&lt;&gt;"Checked Out","",'Checkout Log'!E149)</f>
        <v/>
      </c>
      <c r="E178" s="12" t="str">
        <f aca="false">IF('Checkout Log'!L149&lt;&gt;"Checked Out","",'Checkout Log'!H149)</f>
        <v/>
      </c>
      <c r="F178" s="12" t="str">
        <f aca="false">IF('Checkout Log'!L149&lt;&gt;"Checked Out","",'Checkout Log'!I149)</f>
        <v/>
      </c>
    </row>
    <row r="179" customFormat="false" ht="15" hidden="false" customHeight="false" outlineLevel="0" collapsed="false">
      <c r="A179" s="13" t="str">
        <f aca="false">IF('Checkout Log'!$L150&lt;&gt;"Checked Out","",'Checkout Log'!$A150)</f>
        <v/>
      </c>
      <c r="B179" s="13" t="str">
        <f aca="false">IF('Checkout Log'!L150&lt;&gt;"Checked Out","",'Checkout Log'!C150)</f>
        <v/>
      </c>
      <c r="C179" s="13" t="str">
        <f aca="false">IF('Checkout Log'!L150&lt;&gt;"Checked Out","",'Checkout Log'!D150)</f>
        <v/>
      </c>
      <c r="D179" s="13" t="str">
        <f aca="false">IF('Checkout Log'!L150&lt;&gt;"Checked Out","",'Checkout Log'!E150)</f>
        <v/>
      </c>
      <c r="E179" s="14" t="str">
        <f aca="false">IF('Checkout Log'!L150&lt;&gt;"Checked Out","",'Checkout Log'!H150)</f>
        <v/>
      </c>
      <c r="F179" s="14" t="str">
        <f aca="false">IF('Checkout Log'!L150&lt;&gt;"Checked Out","",'Checkout Log'!I150)</f>
        <v/>
      </c>
    </row>
    <row r="180" customFormat="false" ht="15" hidden="false" customHeight="false" outlineLevel="0" collapsed="false">
      <c r="A180" s="11" t="str">
        <f aca="false">IF('Checkout Log'!$L151&lt;&gt;"Checked Out","",'Checkout Log'!$A151)</f>
        <v/>
      </c>
      <c r="B180" s="11" t="str">
        <f aca="false">IF('Checkout Log'!L151&lt;&gt;"Checked Out","",'Checkout Log'!C151)</f>
        <v/>
      </c>
      <c r="C180" s="11" t="str">
        <f aca="false">IF('Checkout Log'!L151&lt;&gt;"Checked Out","",'Checkout Log'!D151)</f>
        <v/>
      </c>
      <c r="D180" s="11" t="str">
        <f aca="false">IF('Checkout Log'!L151&lt;&gt;"Checked Out","",'Checkout Log'!E151)</f>
        <v/>
      </c>
      <c r="E180" s="12" t="str">
        <f aca="false">IF('Checkout Log'!L151&lt;&gt;"Checked Out","",'Checkout Log'!H151)</f>
        <v/>
      </c>
      <c r="F180" s="12" t="str">
        <f aca="false">IF('Checkout Log'!L151&lt;&gt;"Checked Out","",'Checkout Log'!I151)</f>
        <v/>
      </c>
    </row>
    <row r="181" customFormat="false" ht="15" hidden="false" customHeight="false" outlineLevel="0" collapsed="false">
      <c r="A181" s="13" t="str">
        <f aca="false">IF('Checkout Log'!$L152&lt;&gt;"Checked Out","",'Checkout Log'!$A152)</f>
        <v/>
      </c>
      <c r="B181" s="13" t="str">
        <f aca="false">IF('Checkout Log'!L152&lt;&gt;"Checked Out","",'Checkout Log'!C152)</f>
        <v/>
      </c>
      <c r="C181" s="13" t="str">
        <f aca="false">IF('Checkout Log'!L152&lt;&gt;"Checked Out","",'Checkout Log'!D152)</f>
        <v/>
      </c>
      <c r="D181" s="13" t="str">
        <f aca="false">IF('Checkout Log'!L152&lt;&gt;"Checked Out","",'Checkout Log'!E152)</f>
        <v/>
      </c>
      <c r="E181" s="14" t="str">
        <f aca="false">IF('Checkout Log'!L152&lt;&gt;"Checked Out","",'Checkout Log'!H152)</f>
        <v/>
      </c>
      <c r="F181" s="14" t="str">
        <f aca="false">IF('Checkout Log'!L152&lt;&gt;"Checked Out","",'Checkout Log'!I152)</f>
        <v/>
      </c>
    </row>
    <row r="182" customFormat="false" ht="15" hidden="false" customHeight="false" outlineLevel="0" collapsed="false">
      <c r="A182" s="11" t="str">
        <f aca="false">IF('Checkout Log'!$L153&lt;&gt;"Checked Out","",'Checkout Log'!$A153)</f>
        <v/>
      </c>
      <c r="B182" s="11" t="str">
        <f aca="false">IF('Checkout Log'!L153&lt;&gt;"Checked Out","",'Checkout Log'!C153)</f>
        <v/>
      </c>
      <c r="C182" s="11" t="str">
        <f aca="false">IF('Checkout Log'!L153&lt;&gt;"Checked Out","",'Checkout Log'!D153)</f>
        <v/>
      </c>
      <c r="D182" s="11" t="str">
        <f aca="false">IF('Checkout Log'!L153&lt;&gt;"Checked Out","",'Checkout Log'!E153)</f>
        <v/>
      </c>
      <c r="E182" s="12" t="str">
        <f aca="false">IF('Checkout Log'!L153&lt;&gt;"Checked Out","",'Checkout Log'!H153)</f>
        <v/>
      </c>
      <c r="F182" s="12" t="str">
        <f aca="false">IF('Checkout Log'!L153&lt;&gt;"Checked Out","",'Checkout Log'!I153)</f>
        <v/>
      </c>
    </row>
    <row r="183" customFormat="false" ht="15" hidden="false" customHeight="false" outlineLevel="0" collapsed="false">
      <c r="A183" s="13" t="str">
        <f aca="false">IF('Checkout Log'!$L154&lt;&gt;"Checked Out","",'Checkout Log'!$A154)</f>
        <v/>
      </c>
      <c r="B183" s="13" t="str">
        <f aca="false">IF('Checkout Log'!L154&lt;&gt;"Checked Out","",'Checkout Log'!C154)</f>
        <v/>
      </c>
      <c r="C183" s="13" t="str">
        <f aca="false">IF('Checkout Log'!L154&lt;&gt;"Checked Out","",'Checkout Log'!D154)</f>
        <v/>
      </c>
      <c r="D183" s="13" t="str">
        <f aca="false">IF('Checkout Log'!L154&lt;&gt;"Checked Out","",'Checkout Log'!E154)</f>
        <v/>
      </c>
      <c r="E183" s="14" t="str">
        <f aca="false">IF('Checkout Log'!L154&lt;&gt;"Checked Out","",'Checkout Log'!H154)</f>
        <v/>
      </c>
      <c r="F183" s="14" t="str">
        <f aca="false">IF('Checkout Log'!L154&lt;&gt;"Checked Out","",'Checkout Log'!I154)</f>
        <v/>
      </c>
    </row>
    <row r="184" customFormat="false" ht="15" hidden="false" customHeight="false" outlineLevel="0" collapsed="false">
      <c r="A184" s="11" t="str">
        <f aca="false">IF('Checkout Log'!$L155&lt;&gt;"Checked Out","",'Checkout Log'!$A155)</f>
        <v/>
      </c>
      <c r="B184" s="11" t="str">
        <f aca="false">IF('Checkout Log'!L155&lt;&gt;"Checked Out","",'Checkout Log'!C155)</f>
        <v/>
      </c>
      <c r="C184" s="11" t="str">
        <f aca="false">IF('Checkout Log'!L155&lt;&gt;"Checked Out","",'Checkout Log'!D155)</f>
        <v/>
      </c>
      <c r="D184" s="11" t="str">
        <f aca="false">IF('Checkout Log'!L155&lt;&gt;"Checked Out","",'Checkout Log'!E155)</f>
        <v/>
      </c>
      <c r="E184" s="12" t="str">
        <f aca="false">IF('Checkout Log'!L155&lt;&gt;"Checked Out","",'Checkout Log'!H155)</f>
        <v/>
      </c>
      <c r="F184" s="12" t="str">
        <f aca="false">IF('Checkout Log'!L155&lt;&gt;"Checked Out","",'Checkout Log'!I155)</f>
        <v/>
      </c>
    </row>
    <row r="185" customFormat="false" ht="15" hidden="false" customHeight="false" outlineLevel="0" collapsed="false">
      <c r="A185" s="13" t="str">
        <f aca="false">IF('Checkout Log'!$L156&lt;&gt;"Checked Out","",'Checkout Log'!$A156)</f>
        <v/>
      </c>
      <c r="B185" s="13" t="str">
        <f aca="false">IF('Checkout Log'!L156&lt;&gt;"Checked Out","",'Checkout Log'!C156)</f>
        <v/>
      </c>
      <c r="C185" s="13" t="str">
        <f aca="false">IF('Checkout Log'!L156&lt;&gt;"Checked Out","",'Checkout Log'!D156)</f>
        <v/>
      </c>
      <c r="D185" s="13" t="str">
        <f aca="false">IF('Checkout Log'!L156&lt;&gt;"Checked Out","",'Checkout Log'!E156)</f>
        <v/>
      </c>
      <c r="E185" s="14" t="str">
        <f aca="false">IF('Checkout Log'!L156&lt;&gt;"Checked Out","",'Checkout Log'!H156)</f>
        <v/>
      </c>
      <c r="F185" s="14" t="str">
        <f aca="false">IF('Checkout Log'!L156&lt;&gt;"Checked Out","",'Checkout Log'!I156)</f>
        <v/>
      </c>
    </row>
    <row r="186" customFormat="false" ht="15" hidden="false" customHeight="false" outlineLevel="0" collapsed="false">
      <c r="A186" s="11" t="str">
        <f aca="false">IF('Checkout Log'!$L157&lt;&gt;"Checked Out","",'Checkout Log'!$A157)</f>
        <v/>
      </c>
      <c r="B186" s="11" t="str">
        <f aca="false">IF('Checkout Log'!L157&lt;&gt;"Checked Out","",'Checkout Log'!C157)</f>
        <v/>
      </c>
      <c r="C186" s="11" t="str">
        <f aca="false">IF('Checkout Log'!L157&lt;&gt;"Checked Out","",'Checkout Log'!D157)</f>
        <v/>
      </c>
      <c r="D186" s="11" t="str">
        <f aca="false">IF('Checkout Log'!L157&lt;&gt;"Checked Out","",'Checkout Log'!E157)</f>
        <v/>
      </c>
      <c r="E186" s="12" t="str">
        <f aca="false">IF('Checkout Log'!L157&lt;&gt;"Checked Out","",'Checkout Log'!H157)</f>
        <v/>
      </c>
      <c r="F186" s="12" t="str">
        <f aca="false">IF('Checkout Log'!L157&lt;&gt;"Checked Out","",'Checkout Log'!I157)</f>
        <v/>
      </c>
    </row>
    <row r="187" customFormat="false" ht="15" hidden="false" customHeight="false" outlineLevel="0" collapsed="false">
      <c r="A187" s="13" t="str">
        <f aca="false">IF('Checkout Log'!$L158&lt;&gt;"Checked Out","",'Checkout Log'!$A158)</f>
        <v/>
      </c>
      <c r="B187" s="13" t="str">
        <f aca="false">IF('Checkout Log'!L158&lt;&gt;"Checked Out","",'Checkout Log'!C158)</f>
        <v/>
      </c>
      <c r="C187" s="13" t="str">
        <f aca="false">IF('Checkout Log'!L158&lt;&gt;"Checked Out","",'Checkout Log'!D158)</f>
        <v/>
      </c>
      <c r="D187" s="13" t="str">
        <f aca="false">IF('Checkout Log'!L158&lt;&gt;"Checked Out","",'Checkout Log'!E158)</f>
        <v/>
      </c>
      <c r="E187" s="14" t="str">
        <f aca="false">IF('Checkout Log'!L158&lt;&gt;"Checked Out","",'Checkout Log'!H158)</f>
        <v/>
      </c>
      <c r="F187" s="14" t="str">
        <f aca="false">IF('Checkout Log'!L158&lt;&gt;"Checked Out","",'Checkout Log'!I158)</f>
        <v/>
      </c>
    </row>
    <row r="188" customFormat="false" ht="15" hidden="false" customHeight="false" outlineLevel="0" collapsed="false">
      <c r="A188" s="11" t="str">
        <f aca="false">IF('Checkout Log'!$L159&lt;&gt;"Checked Out","",'Checkout Log'!$A159)</f>
        <v/>
      </c>
      <c r="B188" s="11" t="str">
        <f aca="false">IF('Checkout Log'!L159&lt;&gt;"Checked Out","",'Checkout Log'!C159)</f>
        <v/>
      </c>
      <c r="C188" s="11" t="str">
        <f aca="false">IF('Checkout Log'!L159&lt;&gt;"Checked Out","",'Checkout Log'!D159)</f>
        <v/>
      </c>
      <c r="D188" s="11" t="str">
        <f aca="false">IF('Checkout Log'!L159&lt;&gt;"Checked Out","",'Checkout Log'!E159)</f>
        <v/>
      </c>
      <c r="E188" s="12" t="str">
        <f aca="false">IF('Checkout Log'!L159&lt;&gt;"Checked Out","",'Checkout Log'!H159)</f>
        <v/>
      </c>
      <c r="F188" s="12" t="str">
        <f aca="false">IF('Checkout Log'!L159&lt;&gt;"Checked Out","",'Checkout Log'!I159)</f>
        <v/>
      </c>
    </row>
    <row r="189" customFormat="false" ht="15" hidden="false" customHeight="false" outlineLevel="0" collapsed="false">
      <c r="A189" s="13" t="str">
        <f aca="false">IF('Checkout Log'!$L160&lt;&gt;"Checked Out","",'Checkout Log'!$A160)</f>
        <v/>
      </c>
      <c r="B189" s="13" t="str">
        <f aca="false">IF('Checkout Log'!L160&lt;&gt;"Checked Out","",'Checkout Log'!C160)</f>
        <v/>
      </c>
      <c r="C189" s="13" t="str">
        <f aca="false">IF('Checkout Log'!L160&lt;&gt;"Checked Out","",'Checkout Log'!D160)</f>
        <v/>
      </c>
      <c r="D189" s="13" t="str">
        <f aca="false">IF('Checkout Log'!L160&lt;&gt;"Checked Out","",'Checkout Log'!E160)</f>
        <v/>
      </c>
      <c r="E189" s="14" t="str">
        <f aca="false">IF('Checkout Log'!L160&lt;&gt;"Checked Out","",'Checkout Log'!H160)</f>
        <v/>
      </c>
      <c r="F189" s="14" t="str">
        <f aca="false">IF('Checkout Log'!L160&lt;&gt;"Checked Out","",'Checkout Log'!I160)</f>
        <v/>
      </c>
    </row>
    <row r="190" customFormat="false" ht="15" hidden="false" customHeight="false" outlineLevel="0" collapsed="false">
      <c r="A190" s="11" t="str">
        <f aca="false">IF('Checkout Log'!$L161&lt;&gt;"Checked Out","",'Checkout Log'!$A161)</f>
        <v/>
      </c>
      <c r="B190" s="11" t="str">
        <f aca="false">IF('Checkout Log'!L161&lt;&gt;"Checked Out","",'Checkout Log'!C161)</f>
        <v/>
      </c>
      <c r="C190" s="11" t="str">
        <f aca="false">IF('Checkout Log'!L161&lt;&gt;"Checked Out","",'Checkout Log'!D161)</f>
        <v/>
      </c>
      <c r="D190" s="11" t="str">
        <f aca="false">IF('Checkout Log'!L161&lt;&gt;"Checked Out","",'Checkout Log'!E161)</f>
        <v/>
      </c>
      <c r="E190" s="12" t="str">
        <f aca="false">IF('Checkout Log'!L161&lt;&gt;"Checked Out","",'Checkout Log'!H161)</f>
        <v/>
      </c>
      <c r="F190" s="12" t="str">
        <f aca="false">IF('Checkout Log'!L161&lt;&gt;"Checked Out","",'Checkout Log'!I161)</f>
        <v/>
      </c>
    </row>
    <row r="191" customFormat="false" ht="15" hidden="false" customHeight="false" outlineLevel="0" collapsed="false">
      <c r="A191" s="13" t="str">
        <f aca="false">IF('Checkout Log'!$L162&lt;&gt;"Checked Out","",'Checkout Log'!$A162)</f>
        <v/>
      </c>
      <c r="B191" s="13" t="str">
        <f aca="false">IF('Checkout Log'!L162&lt;&gt;"Checked Out","",'Checkout Log'!C162)</f>
        <v/>
      </c>
      <c r="C191" s="13" t="str">
        <f aca="false">IF('Checkout Log'!L162&lt;&gt;"Checked Out","",'Checkout Log'!D162)</f>
        <v/>
      </c>
      <c r="D191" s="13" t="str">
        <f aca="false">IF('Checkout Log'!L162&lt;&gt;"Checked Out","",'Checkout Log'!E162)</f>
        <v/>
      </c>
      <c r="E191" s="14" t="str">
        <f aca="false">IF('Checkout Log'!L162&lt;&gt;"Checked Out","",'Checkout Log'!H162)</f>
        <v/>
      </c>
      <c r="F191" s="14" t="str">
        <f aca="false">IF('Checkout Log'!L162&lt;&gt;"Checked Out","",'Checkout Log'!I162)</f>
        <v/>
      </c>
    </row>
    <row r="192" customFormat="false" ht="15" hidden="false" customHeight="false" outlineLevel="0" collapsed="false">
      <c r="A192" s="11" t="str">
        <f aca="false">IF('Checkout Log'!$L163&lt;&gt;"Checked Out","",'Checkout Log'!$A163)</f>
        <v/>
      </c>
      <c r="B192" s="11" t="str">
        <f aca="false">IF('Checkout Log'!L163&lt;&gt;"Checked Out","",'Checkout Log'!C163)</f>
        <v/>
      </c>
      <c r="C192" s="11" t="str">
        <f aca="false">IF('Checkout Log'!L163&lt;&gt;"Checked Out","",'Checkout Log'!D163)</f>
        <v/>
      </c>
      <c r="D192" s="11" t="str">
        <f aca="false">IF('Checkout Log'!L163&lt;&gt;"Checked Out","",'Checkout Log'!E163)</f>
        <v/>
      </c>
      <c r="E192" s="12" t="str">
        <f aca="false">IF('Checkout Log'!L163&lt;&gt;"Checked Out","",'Checkout Log'!H163)</f>
        <v/>
      </c>
      <c r="F192" s="12" t="str">
        <f aca="false">IF('Checkout Log'!L163&lt;&gt;"Checked Out","",'Checkout Log'!I163)</f>
        <v/>
      </c>
    </row>
    <row r="193" customFormat="false" ht="15" hidden="false" customHeight="false" outlineLevel="0" collapsed="false">
      <c r="A193" s="13" t="str">
        <f aca="false">IF('Checkout Log'!$L164&lt;&gt;"Checked Out","",'Checkout Log'!$A164)</f>
        <v/>
      </c>
      <c r="B193" s="13" t="str">
        <f aca="false">IF('Checkout Log'!L164&lt;&gt;"Checked Out","",'Checkout Log'!C164)</f>
        <v/>
      </c>
      <c r="C193" s="13" t="str">
        <f aca="false">IF('Checkout Log'!L164&lt;&gt;"Checked Out","",'Checkout Log'!D164)</f>
        <v/>
      </c>
      <c r="D193" s="13" t="str">
        <f aca="false">IF('Checkout Log'!L164&lt;&gt;"Checked Out","",'Checkout Log'!E164)</f>
        <v/>
      </c>
      <c r="E193" s="14" t="str">
        <f aca="false">IF('Checkout Log'!L164&lt;&gt;"Checked Out","",'Checkout Log'!H164)</f>
        <v/>
      </c>
      <c r="F193" s="14" t="str">
        <f aca="false">IF('Checkout Log'!L164&lt;&gt;"Checked Out","",'Checkout Log'!I164)</f>
        <v/>
      </c>
    </row>
    <row r="194" customFormat="false" ht="15" hidden="false" customHeight="false" outlineLevel="0" collapsed="false">
      <c r="A194" s="11" t="str">
        <f aca="false">IF('Checkout Log'!$L165&lt;&gt;"Checked Out","",'Checkout Log'!$A165)</f>
        <v/>
      </c>
      <c r="B194" s="11" t="str">
        <f aca="false">IF('Checkout Log'!L165&lt;&gt;"Checked Out","",'Checkout Log'!C165)</f>
        <v/>
      </c>
      <c r="C194" s="11" t="str">
        <f aca="false">IF('Checkout Log'!L165&lt;&gt;"Checked Out","",'Checkout Log'!D165)</f>
        <v/>
      </c>
      <c r="D194" s="11" t="str">
        <f aca="false">IF('Checkout Log'!L165&lt;&gt;"Checked Out","",'Checkout Log'!E165)</f>
        <v/>
      </c>
      <c r="E194" s="12" t="str">
        <f aca="false">IF('Checkout Log'!L165&lt;&gt;"Checked Out","",'Checkout Log'!H165)</f>
        <v/>
      </c>
      <c r="F194" s="12" t="str">
        <f aca="false">IF('Checkout Log'!L165&lt;&gt;"Checked Out","",'Checkout Log'!I165)</f>
        <v/>
      </c>
    </row>
    <row r="195" customFormat="false" ht="15" hidden="false" customHeight="false" outlineLevel="0" collapsed="false">
      <c r="A195" s="13" t="str">
        <f aca="false">IF('Checkout Log'!$L166&lt;&gt;"Checked Out","",'Checkout Log'!$A166)</f>
        <v/>
      </c>
      <c r="B195" s="13" t="str">
        <f aca="false">IF('Checkout Log'!L166&lt;&gt;"Checked Out","",'Checkout Log'!C166)</f>
        <v/>
      </c>
      <c r="C195" s="13" t="str">
        <f aca="false">IF('Checkout Log'!L166&lt;&gt;"Checked Out","",'Checkout Log'!D166)</f>
        <v/>
      </c>
      <c r="D195" s="13" t="str">
        <f aca="false">IF('Checkout Log'!L166&lt;&gt;"Checked Out","",'Checkout Log'!E166)</f>
        <v/>
      </c>
      <c r="E195" s="14" t="str">
        <f aca="false">IF('Checkout Log'!L166&lt;&gt;"Checked Out","",'Checkout Log'!H166)</f>
        <v/>
      </c>
      <c r="F195" s="14" t="str">
        <f aca="false">IF('Checkout Log'!L166&lt;&gt;"Checked Out","",'Checkout Log'!I166)</f>
        <v/>
      </c>
    </row>
    <row r="196" customFormat="false" ht="15" hidden="false" customHeight="false" outlineLevel="0" collapsed="false">
      <c r="A196" s="11" t="str">
        <f aca="false">IF('Checkout Log'!$L167&lt;&gt;"Checked Out","",'Checkout Log'!$A167)</f>
        <v/>
      </c>
      <c r="B196" s="11" t="str">
        <f aca="false">IF('Checkout Log'!L167&lt;&gt;"Checked Out","",'Checkout Log'!C167)</f>
        <v/>
      </c>
      <c r="C196" s="11" t="str">
        <f aca="false">IF('Checkout Log'!L167&lt;&gt;"Checked Out","",'Checkout Log'!D167)</f>
        <v/>
      </c>
      <c r="D196" s="11" t="str">
        <f aca="false">IF('Checkout Log'!L167&lt;&gt;"Checked Out","",'Checkout Log'!E167)</f>
        <v/>
      </c>
      <c r="E196" s="12" t="str">
        <f aca="false">IF('Checkout Log'!L167&lt;&gt;"Checked Out","",'Checkout Log'!H167)</f>
        <v/>
      </c>
      <c r="F196" s="12" t="str">
        <f aca="false">IF('Checkout Log'!L167&lt;&gt;"Checked Out","",'Checkout Log'!I167)</f>
        <v/>
      </c>
    </row>
    <row r="197" customFormat="false" ht="15" hidden="false" customHeight="false" outlineLevel="0" collapsed="false">
      <c r="A197" s="13" t="str">
        <f aca="false">IF('Checkout Log'!$L168&lt;&gt;"Checked Out","",'Checkout Log'!$A168)</f>
        <v/>
      </c>
      <c r="B197" s="13" t="str">
        <f aca="false">IF('Checkout Log'!L168&lt;&gt;"Checked Out","",'Checkout Log'!C168)</f>
        <v/>
      </c>
      <c r="C197" s="13" t="str">
        <f aca="false">IF('Checkout Log'!L168&lt;&gt;"Checked Out","",'Checkout Log'!D168)</f>
        <v/>
      </c>
      <c r="D197" s="13" t="str">
        <f aca="false">IF('Checkout Log'!L168&lt;&gt;"Checked Out","",'Checkout Log'!E168)</f>
        <v/>
      </c>
      <c r="E197" s="14" t="str">
        <f aca="false">IF('Checkout Log'!L168&lt;&gt;"Checked Out","",'Checkout Log'!H168)</f>
        <v/>
      </c>
      <c r="F197" s="14" t="str">
        <f aca="false">IF('Checkout Log'!L168&lt;&gt;"Checked Out","",'Checkout Log'!I168)</f>
        <v/>
      </c>
    </row>
    <row r="198" customFormat="false" ht="15" hidden="false" customHeight="false" outlineLevel="0" collapsed="false">
      <c r="A198" s="11" t="str">
        <f aca="false">IF('Checkout Log'!$L169&lt;&gt;"Checked Out","",'Checkout Log'!$A169)</f>
        <v/>
      </c>
      <c r="B198" s="11" t="str">
        <f aca="false">IF('Checkout Log'!L169&lt;&gt;"Checked Out","",'Checkout Log'!C169)</f>
        <v/>
      </c>
      <c r="C198" s="11" t="str">
        <f aca="false">IF('Checkout Log'!L169&lt;&gt;"Checked Out","",'Checkout Log'!D169)</f>
        <v/>
      </c>
      <c r="D198" s="11" t="str">
        <f aca="false">IF('Checkout Log'!L169&lt;&gt;"Checked Out","",'Checkout Log'!E169)</f>
        <v/>
      </c>
      <c r="E198" s="12" t="str">
        <f aca="false">IF('Checkout Log'!L169&lt;&gt;"Checked Out","",'Checkout Log'!H169)</f>
        <v/>
      </c>
      <c r="F198" s="12" t="str">
        <f aca="false">IF('Checkout Log'!L169&lt;&gt;"Checked Out","",'Checkout Log'!I169)</f>
        <v/>
      </c>
    </row>
    <row r="199" customFormat="false" ht="15" hidden="false" customHeight="false" outlineLevel="0" collapsed="false">
      <c r="A199" s="13" t="str">
        <f aca="false">IF('Checkout Log'!$L170&lt;&gt;"Checked Out","",'Checkout Log'!$A170)</f>
        <v/>
      </c>
      <c r="B199" s="13" t="str">
        <f aca="false">IF('Checkout Log'!L170&lt;&gt;"Checked Out","",'Checkout Log'!C170)</f>
        <v/>
      </c>
      <c r="C199" s="13" t="str">
        <f aca="false">IF('Checkout Log'!L170&lt;&gt;"Checked Out","",'Checkout Log'!D170)</f>
        <v/>
      </c>
      <c r="D199" s="13" t="str">
        <f aca="false">IF('Checkout Log'!L170&lt;&gt;"Checked Out","",'Checkout Log'!E170)</f>
        <v/>
      </c>
      <c r="E199" s="14" t="str">
        <f aca="false">IF('Checkout Log'!L170&lt;&gt;"Checked Out","",'Checkout Log'!H170)</f>
        <v/>
      </c>
      <c r="F199" s="14" t="str">
        <f aca="false">IF('Checkout Log'!L170&lt;&gt;"Checked Out","",'Checkout Log'!I170)</f>
        <v/>
      </c>
    </row>
    <row r="200" customFormat="false" ht="15" hidden="false" customHeight="false" outlineLevel="0" collapsed="false">
      <c r="A200" s="11" t="str">
        <f aca="false">IF('Checkout Log'!$L171&lt;&gt;"Checked Out","",'Checkout Log'!$A171)</f>
        <v/>
      </c>
      <c r="B200" s="11" t="str">
        <f aca="false">IF('Checkout Log'!L171&lt;&gt;"Checked Out","",'Checkout Log'!C171)</f>
        <v/>
      </c>
      <c r="C200" s="11" t="str">
        <f aca="false">IF('Checkout Log'!L171&lt;&gt;"Checked Out","",'Checkout Log'!D171)</f>
        <v/>
      </c>
      <c r="D200" s="11" t="str">
        <f aca="false">IF('Checkout Log'!L171&lt;&gt;"Checked Out","",'Checkout Log'!E171)</f>
        <v/>
      </c>
      <c r="E200" s="12" t="str">
        <f aca="false">IF('Checkout Log'!L171&lt;&gt;"Checked Out","",'Checkout Log'!H171)</f>
        <v/>
      </c>
      <c r="F200" s="12" t="str">
        <f aca="false">IF('Checkout Log'!L171&lt;&gt;"Checked Out","",'Checkout Log'!I171)</f>
        <v/>
      </c>
    </row>
    <row r="201" customFormat="false" ht="15" hidden="false" customHeight="false" outlineLevel="0" collapsed="false">
      <c r="A201" s="13" t="str">
        <f aca="false">IF('Checkout Log'!$L172&lt;&gt;"Checked Out","",'Checkout Log'!$A172)</f>
        <v/>
      </c>
      <c r="B201" s="13" t="str">
        <f aca="false">IF('Checkout Log'!L172&lt;&gt;"Checked Out","",'Checkout Log'!C172)</f>
        <v/>
      </c>
      <c r="C201" s="13" t="str">
        <f aca="false">IF('Checkout Log'!L172&lt;&gt;"Checked Out","",'Checkout Log'!D172)</f>
        <v/>
      </c>
      <c r="D201" s="13" t="str">
        <f aca="false">IF('Checkout Log'!L172&lt;&gt;"Checked Out","",'Checkout Log'!E172)</f>
        <v/>
      </c>
      <c r="E201" s="14" t="str">
        <f aca="false">IF('Checkout Log'!L172&lt;&gt;"Checked Out","",'Checkout Log'!H172)</f>
        <v/>
      </c>
      <c r="F201" s="14" t="str">
        <f aca="false">IF('Checkout Log'!L172&lt;&gt;"Checked Out","",'Checkout Log'!I172)</f>
        <v/>
      </c>
    </row>
    <row r="202" customFormat="false" ht="15" hidden="false" customHeight="false" outlineLevel="0" collapsed="false">
      <c r="A202" s="11" t="str">
        <f aca="false">IF('Checkout Log'!$L173&lt;&gt;"Checked Out","",'Checkout Log'!$A173)</f>
        <v/>
      </c>
      <c r="B202" s="11" t="str">
        <f aca="false">IF('Checkout Log'!L173&lt;&gt;"Checked Out","",'Checkout Log'!C173)</f>
        <v/>
      </c>
      <c r="C202" s="11" t="str">
        <f aca="false">IF('Checkout Log'!L173&lt;&gt;"Checked Out","",'Checkout Log'!D173)</f>
        <v/>
      </c>
      <c r="D202" s="11" t="str">
        <f aca="false">IF('Checkout Log'!L173&lt;&gt;"Checked Out","",'Checkout Log'!E173)</f>
        <v/>
      </c>
      <c r="E202" s="12" t="str">
        <f aca="false">IF('Checkout Log'!L173&lt;&gt;"Checked Out","",'Checkout Log'!H173)</f>
        <v/>
      </c>
      <c r="F202" s="12" t="str">
        <f aca="false">IF('Checkout Log'!L173&lt;&gt;"Checked Out","",'Checkout Log'!I173)</f>
        <v/>
      </c>
    </row>
    <row r="203" customFormat="false" ht="15" hidden="false" customHeight="false" outlineLevel="0" collapsed="false">
      <c r="A203" s="13" t="str">
        <f aca="false">IF('Checkout Log'!$L174&lt;&gt;"Checked Out","",'Checkout Log'!$A174)</f>
        <v/>
      </c>
      <c r="B203" s="13" t="str">
        <f aca="false">IF('Checkout Log'!L174&lt;&gt;"Checked Out","",'Checkout Log'!C174)</f>
        <v/>
      </c>
      <c r="C203" s="13" t="str">
        <f aca="false">IF('Checkout Log'!L174&lt;&gt;"Checked Out","",'Checkout Log'!D174)</f>
        <v/>
      </c>
      <c r="D203" s="13" t="str">
        <f aca="false">IF('Checkout Log'!L174&lt;&gt;"Checked Out","",'Checkout Log'!E174)</f>
        <v/>
      </c>
      <c r="E203" s="14" t="str">
        <f aca="false">IF('Checkout Log'!L174&lt;&gt;"Checked Out","",'Checkout Log'!H174)</f>
        <v/>
      </c>
      <c r="F203" s="14" t="str">
        <f aca="false">IF('Checkout Log'!L174&lt;&gt;"Checked Out","",'Checkout Log'!I174)</f>
        <v/>
      </c>
    </row>
    <row r="204" customFormat="false" ht="15" hidden="false" customHeight="false" outlineLevel="0" collapsed="false">
      <c r="A204" s="11" t="str">
        <f aca="false">IF('Checkout Log'!$L175&lt;&gt;"Checked Out","",'Checkout Log'!$A175)</f>
        <v/>
      </c>
      <c r="B204" s="11" t="str">
        <f aca="false">IF('Checkout Log'!L175&lt;&gt;"Checked Out","",'Checkout Log'!C175)</f>
        <v/>
      </c>
      <c r="C204" s="11" t="str">
        <f aca="false">IF('Checkout Log'!L175&lt;&gt;"Checked Out","",'Checkout Log'!D175)</f>
        <v/>
      </c>
      <c r="D204" s="11" t="str">
        <f aca="false">IF('Checkout Log'!L175&lt;&gt;"Checked Out","",'Checkout Log'!E175)</f>
        <v/>
      </c>
      <c r="E204" s="12" t="str">
        <f aca="false">IF('Checkout Log'!L175&lt;&gt;"Checked Out","",'Checkout Log'!H175)</f>
        <v/>
      </c>
      <c r="F204" s="12" t="str">
        <f aca="false">IF('Checkout Log'!L175&lt;&gt;"Checked Out","",'Checkout Log'!I175)</f>
        <v/>
      </c>
    </row>
    <row r="205" customFormat="false" ht="15" hidden="false" customHeight="false" outlineLevel="0" collapsed="false">
      <c r="A205" s="13" t="str">
        <f aca="false">IF('Checkout Log'!$L176&lt;&gt;"Checked Out","",'Checkout Log'!$A176)</f>
        <v/>
      </c>
      <c r="B205" s="13" t="str">
        <f aca="false">IF('Checkout Log'!L176&lt;&gt;"Checked Out","",'Checkout Log'!C176)</f>
        <v/>
      </c>
      <c r="C205" s="13" t="str">
        <f aca="false">IF('Checkout Log'!L176&lt;&gt;"Checked Out","",'Checkout Log'!D176)</f>
        <v/>
      </c>
      <c r="D205" s="13" t="str">
        <f aca="false">IF('Checkout Log'!L176&lt;&gt;"Checked Out","",'Checkout Log'!E176)</f>
        <v/>
      </c>
      <c r="E205" s="14" t="str">
        <f aca="false">IF('Checkout Log'!L176&lt;&gt;"Checked Out","",'Checkout Log'!H176)</f>
        <v/>
      </c>
      <c r="F205" s="14" t="str">
        <f aca="false">IF('Checkout Log'!L176&lt;&gt;"Checked Out","",'Checkout Log'!I176)</f>
        <v/>
      </c>
    </row>
    <row r="206" customFormat="false" ht="15" hidden="false" customHeight="false" outlineLevel="0" collapsed="false">
      <c r="A206" s="11" t="str">
        <f aca="false">IF('Checkout Log'!$L177&lt;&gt;"Checked Out","",'Checkout Log'!$A177)</f>
        <v/>
      </c>
      <c r="B206" s="11" t="str">
        <f aca="false">IF('Checkout Log'!L177&lt;&gt;"Checked Out","",'Checkout Log'!C177)</f>
        <v/>
      </c>
      <c r="C206" s="11" t="str">
        <f aca="false">IF('Checkout Log'!L177&lt;&gt;"Checked Out","",'Checkout Log'!D177)</f>
        <v/>
      </c>
      <c r="D206" s="11" t="str">
        <f aca="false">IF('Checkout Log'!L177&lt;&gt;"Checked Out","",'Checkout Log'!E177)</f>
        <v/>
      </c>
      <c r="E206" s="12" t="str">
        <f aca="false">IF('Checkout Log'!L177&lt;&gt;"Checked Out","",'Checkout Log'!H177)</f>
        <v/>
      </c>
      <c r="F206" s="12" t="str">
        <f aca="false">IF('Checkout Log'!L177&lt;&gt;"Checked Out","",'Checkout Log'!I177)</f>
        <v/>
      </c>
    </row>
    <row r="207" customFormat="false" ht="15" hidden="false" customHeight="false" outlineLevel="0" collapsed="false">
      <c r="A207" s="13" t="str">
        <f aca="false">IF('Checkout Log'!$L178&lt;&gt;"Checked Out","",'Checkout Log'!$A178)</f>
        <v/>
      </c>
      <c r="B207" s="13" t="str">
        <f aca="false">IF('Checkout Log'!L178&lt;&gt;"Checked Out","",'Checkout Log'!C178)</f>
        <v/>
      </c>
      <c r="C207" s="13" t="str">
        <f aca="false">IF('Checkout Log'!L178&lt;&gt;"Checked Out","",'Checkout Log'!D178)</f>
        <v/>
      </c>
      <c r="D207" s="13" t="str">
        <f aca="false">IF('Checkout Log'!L178&lt;&gt;"Checked Out","",'Checkout Log'!E178)</f>
        <v/>
      </c>
      <c r="E207" s="14" t="str">
        <f aca="false">IF('Checkout Log'!L178&lt;&gt;"Checked Out","",'Checkout Log'!H178)</f>
        <v/>
      </c>
      <c r="F207" s="14" t="str">
        <f aca="false">IF('Checkout Log'!L178&lt;&gt;"Checked Out","",'Checkout Log'!I178)</f>
        <v/>
      </c>
    </row>
    <row r="208" customFormat="false" ht="15" hidden="false" customHeight="false" outlineLevel="0" collapsed="false">
      <c r="A208" s="11" t="str">
        <f aca="false">IF('Checkout Log'!$L179&lt;&gt;"Checked Out","",'Checkout Log'!$A179)</f>
        <v/>
      </c>
      <c r="B208" s="11" t="str">
        <f aca="false">IF('Checkout Log'!L179&lt;&gt;"Checked Out","",'Checkout Log'!C179)</f>
        <v/>
      </c>
      <c r="C208" s="11" t="str">
        <f aca="false">IF('Checkout Log'!L179&lt;&gt;"Checked Out","",'Checkout Log'!D179)</f>
        <v/>
      </c>
      <c r="D208" s="11" t="str">
        <f aca="false">IF('Checkout Log'!L179&lt;&gt;"Checked Out","",'Checkout Log'!E179)</f>
        <v/>
      </c>
      <c r="E208" s="12" t="str">
        <f aca="false">IF('Checkout Log'!L179&lt;&gt;"Checked Out","",'Checkout Log'!H179)</f>
        <v/>
      </c>
      <c r="F208" s="12" t="str">
        <f aca="false">IF('Checkout Log'!L179&lt;&gt;"Checked Out","",'Checkout Log'!I179)</f>
        <v/>
      </c>
    </row>
    <row r="209" customFormat="false" ht="15" hidden="false" customHeight="false" outlineLevel="0" collapsed="false">
      <c r="A209" s="13" t="str">
        <f aca="false">IF('Checkout Log'!$L180&lt;&gt;"Checked Out","",'Checkout Log'!$A180)</f>
        <v/>
      </c>
      <c r="B209" s="13" t="str">
        <f aca="false">IF('Checkout Log'!L180&lt;&gt;"Checked Out","",'Checkout Log'!C180)</f>
        <v/>
      </c>
      <c r="C209" s="13" t="str">
        <f aca="false">IF('Checkout Log'!L180&lt;&gt;"Checked Out","",'Checkout Log'!D180)</f>
        <v/>
      </c>
      <c r="D209" s="13" t="str">
        <f aca="false">IF('Checkout Log'!L180&lt;&gt;"Checked Out","",'Checkout Log'!E180)</f>
        <v/>
      </c>
      <c r="E209" s="14" t="str">
        <f aca="false">IF('Checkout Log'!L180&lt;&gt;"Checked Out","",'Checkout Log'!H180)</f>
        <v/>
      </c>
      <c r="F209" s="14" t="str">
        <f aca="false">IF('Checkout Log'!L180&lt;&gt;"Checked Out","",'Checkout Log'!I180)</f>
        <v/>
      </c>
    </row>
    <row r="210" customFormat="false" ht="15" hidden="false" customHeight="false" outlineLevel="0" collapsed="false">
      <c r="A210" s="11" t="str">
        <f aca="false">IF('Checkout Log'!$L181&lt;&gt;"Checked Out","",'Checkout Log'!$A181)</f>
        <v/>
      </c>
      <c r="B210" s="11" t="str">
        <f aca="false">IF('Checkout Log'!L181&lt;&gt;"Checked Out","",'Checkout Log'!C181)</f>
        <v/>
      </c>
      <c r="C210" s="11" t="str">
        <f aca="false">IF('Checkout Log'!L181&lt;&gt;"Checked Out","",'Checkout Log'!D181)</f>
        <v/>
      </c>
      <c r="D210" s="11" t="str">
        <f aca="false">IF('Checkout Log'!L181&lt;&gt;"Checked Out","",'Checkout Log'!E181)</f>
        <v/>
      </c>
      <c r="E210" s="12" t="str">
        <f aca="false">IF('Checkout Log'!L181&lt;&gt;"Checked Out","",'Checkout Log'!H181)</f>
        <v/>
      </c>
      <c r="F210" s="12" t="str">
        <f aca="false">IF('Checkout Log'!L181&lt;&gt;"Checked Out","",'Checkout Log'!I181)</f>
        <v/>
      </c>
    </row>
    <row r="211" customFormat="false" ht="15" hidden="false" customHeight="false" outlineLevel="0" collapsed="false">
      <c r="A211" s="13" t="str">
        <f aca="false">IF('Checkout Log'!$L182&lt;&gt;"Checked Out","",'Checkout Log'!$A182)</f>
        <v/>
      </c>
      <c r="B211" s="13" t="str">
        <f aca="false">IF('Checkout Log'!L182&lt;&gt;"Checked Out","",'Checkout Log'!C182)</f>
        <v/>
      </c>
      <c r="C211" s="13" t="str">
        <f aca="false">IF('Checkout Log'!L182&lt;&gt;"Checked Out","",'Checkout Log'!D182)</f>
        <v/>
      </c>
      <c r="D211" s="13" t="str">
        <f aca="false">IF('Checkout Log'!L182&lt;&gt;"Checked Out","",'Checkout Log'!E182)</f>
        <v/>
      </c>
      <c r="E211" s="14" t="str">
        <f aca="false">IF('Checkout Log'!L182&lt;&gt;"Checked Out","",'Checkout Log'!H182)</f>
        <v/>
      </c>
      <c r="F211" s="14" t="str">
        <f aca="false">IF('Checkout Log'!L182&lt;&gt;"Checked Out","",'Checkout Log'!I182)</f>
        <v/>
      </c>
    </row>
    <row r="212" customFormat="false" ht="15" hidden="false" customHeight="false" outlineLevel="0" collapsed="false">
      <c r="A212" s="11" t="str">
        <f aca="false">IF('Checkout Log'!$L183&lt;&gt;"Checked Out","",'Checkout Log'!$A183)</f>
        <v/>
      </c>
      <c r="B212" s="11" t="str">
        <f aca="false">IF('Checkout Log'!L183&lt;&gt;"Checked Out","",'Checkout Log'!C183)</f>
        <v/>
      </c>
      <c r="C212" s="11" t="str">
        <f aca="false">IF('Checkout Log'!L183&lt;&gt;"Checked Out","",'Checkout Log'!D183)</f>
        <v/>
      </c>
      <c r="D212" s="11" t="str">
        <f aca="false">IF('Checkout Log'!L183&lt;&gt;"Checked Out","",'Checkout Log'!E183)</f>
        <v/>
      </c>
      <c r="E212" s="12" t="str">
        <f aca="false">IF('Checkout Log'!L183&lt;&gt;"Checked Out","",'Checkout Log'!H183)</f>
        <v/>
      </c>
      <c r="F212" s="12" t="str">
        <f aca="false">IF('Checkout Log'!L183&lt;&gt;"Checked Out","",'Checkout Log'!I183)</f>
        <v/>
      </c>
    </row>
    <row r="213" customFormat="false" ht="15" hidden="false" customHeight="false" outlineLevel="0" collapsed="false">
      <c r="A213" s="13" t="str">
        <f aca="false">IF('Checkout Log'!$L184&lt;&gt;"Checked Out","",'Checkout Log'!$A184)</f>
        <v/>
      </c>
      <c r="B213" s="13" t="str">
        <f aca="false">IF('Checkout Log'!L184&lt;&gt;"Checked Out","",'Checkout Log'!C184)</f>
        <v/>
      </c>
      <c r="C213" s="13" t="str">
        <f aca="false">IF('Checkout Log'!L184&lt;&gt;"Checked Out","",'Checkout Log'!D184)</f>
        <v/>
      </c>
      <c r="D213" s="13" t="str">
        <f aca="false">IF('Checkout Log'!L184&lt;&gt;"Checked Out","",'Checkout Log'!E184)</f>
        <v/>
      </c>
      <c r="E213" s="14" t="str">
        <f aca="false">IF('Checkout Log'!L184&lt;&gt;"Checked Out","",'Checkout Log'!H184)</f>
        <v/>
      </c>
      <c r="F213" s="14" t="str">
        <f aca="false">IF('Checkout Log'!L184&lt;&gt;"Checked Out","",'Checkout Log'!I184)</f>
        <v/>
      </c>
    </row>
    <row r="214" customFormat="false" ht="15" hidden="false" customHeight="false" outlineLevel="0" collapsed="false">
      <c r="A214" s="11" t="str">
        <f aca="false">IF('Checkout Log'!$L185&lt;&gt;"Checked Out","",'Checkout Log'!$A185)</f>
        <v/>
      </c>
      <c r="B214" s="11" t="str">
        <f aca="false">IF('Checkout Log'!L185&lt;&gt;"Checked Out","",'Checkout Log'!C185)</f>
        <v/>
      </c>
      <c r="C214" s="11" t="str">
        <f aca="false">IF('Checkout Log'!L185&lt;&gt;"Checked Out","",'Checkout Log'!D185)</f>
        <v/>
      </c>
      <c r="D214" s="11" t="str">
        <f aca="false">IF('Checkout Log'!L185&lt;&gt;"Checked Out","",'Checkout Log'!E185)</f>
        <v/>
      </c>
      <c r="E214" s="12" t="str">
        <f aca="false">IF('Checkout Log'!L185&lt;&gt;"Checked Out","",'Checkout Log'!H185)</f>
        <v/>
      </c>
      <c r="F214" s="12" t="str">
        <f aca="false">IF('Checkout Log'!L185&lt;&gt;"Checked Out","",'Checkout Log'!I185)</f>
        <v/>
      </c>
    </row>
    <row r="215" customFormat="false" ht="15" hidden="false" customHeight="false" outlineLevel="0" collapsed="false">
      <c r="A215" s="13" t="str">
        <f aca="false">IF('Checkout Log'!$L186&lt;&gt;"Checked Out","",'Checkout Log'!$A186)</f>
        <v/>
      </c>
      <c r="B215" s="13" t="str">
        <f aca="false">IF('Checkout Log'!L186&lt;&gt;"Checked Out","",'Checkout Log'!C186)</f>
        <v/>
      </c>
      <c r="C215" s="13" t="str">
        <f aca="false">IF('Checkout Log'!L186&lt;&gt;"Checked Out","",'Checkout Log'!D186)</f>
        <v/>
      </c>
      <c r="D215" s="13" t="str">
        <f aca="false">IF('Checkout Log'!L186&lt;&gt;"Checked Out","",'Checkout Log'!E186)</f>
        <v/>
      </c>
      <c r="E215" s="14" t="str">
        <f aca="false">IF('Checkout Log'!L186&lt;&gt;"Checked Out","",'Checkout Log'!H186)</f>
        <v/>
      </c>
      <c r="F215" s="14" t="str">
        <f aca="false">IF('Checkout Log'!L186&lt;&gt;"Checked Out","",'Checkout Log'!I186)</f>
        <v/>
      </c>
    </row>
    <row r="216" customFormat="false" ht="15" hidden="false" customHeight="false" outlineLevel="0" collapsed="false">
      <c r="A216" s="11" t="str">
        <f aca="false">IF('Checkout Log'!$L187&lt;&gt;"Checked Out","",'Checkout Log'!$A187)</f>
        <v/>
      </c>
      <c r="B216" s="11" t="str">
        <f aca="false">IF('Checkout Log'!L187&lt;&gt;"Checked Out","",'Checkout Log'!C187)</f>
        <v/>
      </c>
      <c r="C216" s="11" t="str">
        <f aca="false">IF('Checkout Log'!L187&lt;&gt;"Checked Out","",'Checkout Log'!D187)</f>
        <v/>
      </c>
      <c r="D216" s="11" t="str">
        <f aca="false">IF('Checkout Log'!L187&lt;&gt;"Checked Out","",'Checkout Log'!E187)</f>
        <v/>
      </c>
      <c r="E216" s="12" t="str">
        <f aca="false">IF('Checkout Log'!L187&lt;&gt;"Checked Out","",'Checkout Log'!H187)</f>
        <v/>
      </c>
      <c r="F216" s="12" t="str">
        <f aca="false">IF('Checkout Log'!L187&lt;&gt;"Checked Out","",'Checkout Log'!I187)</f>
        <v/>
      </c>
    </row>
    <row r="217" customFormat="false" ht="15" hidden="false" customHeight="false" outlineLevel="0" collapsed="false">
      <c r="A217" s="13" t="str">
        <f aca="false">IF('Checkout Log'!$L188&lt;&gt;"Checked Out","",'Checkout Log'!$A188)</f>
        <v/>
      </c>
      <c r="B217" s="13" t="str">
        <f aca="false">IF('Checkout Log'!L188&lt;&gt;"Checked Out","",'Checkout Log'!C188)</f>
        <v/>
      </c>
      <c r="C217" s="13" t="str">
        <f aca="false">IF('Checkout Log'!L188&lt;&gt;"Checked Out","",'Checkout Log'!D188)</f>
        <v/>
      </c>
      <c r="D217" s="13" t="str">
        <f aca="false">IF('Checkout Log'!L188&lt;&gt;"Checked Out","",'Checkout Log'!E188)</f>
        <v/>
      </c>
      <c r="E217" s="14" t="str">
        <f aca="false">IF('Checkout Log'!L188&lt;&gt;"Checked Out","",'Checkout Log'!H188)</f>
        <v/>
      </c>
      <c r="F217" s="14" t="str">
        <f aca="false">IF('Checkout Log'!L188&lt;&gt;"Checked Out","",'Checkout Log'!I188)</f>
        <v/>
      </c>
    </row>
    <row r="218" customFormat="false" ht="15" hidden="false" customHeight="false" outlineLevel="0" collapsed="false">
      <c r="A218" s="11" t="str">
        <f aca="false">IF('Checkout Log'!$L189&lt;&gt;"Checked Out","",'Checkout Log'!$A189)</f>
        <v/>
      </c>
      <c r="B218" s="11" t="str">
        <f aca="false">IF('Checkout Log'!L189&lt;&gt;"Checked Out","",'Checkout Log'!C189)</f>
        <v/>
      </c>
      <c r="C218" s="11" t="str">
        <f aca="false">IF('Checkout Log'!L189&lt;&gt;"Checked Out","",'Checkout Log'!D189)</f>
        <v/>
      </c>
      <c r="D218" s="11" t="str">
        <f aca="false">IF('Checkout Log'!L189&lt;&gt;"Checked Out","",'Checkout Log'!E189)</f>
        <v/>
      </c>
      <c r="E218" s="12" t="str">
        <f aca="false">IF('Checkout Log'!L189&lt;&gt;"Checked Out","",'Checkout Log'!H189)</f>
        <v/>
      </c>
      <c r="F218" s="12" t="str">
        <f aca="false">IF('Checkout Log'!L189&lt;&gt;"Checked Out","",'Checkout Log'!I189)</f>
        <v/>
      </c>
    </row>
    <row r="219" customFormat="false" ht="15" hidden="false" customHeight="false" outlineLevel="0" collapsed="false">
      <c r="A219" s="13" t="str">
        <f aca="false">IF('Checkout Log'!$L190&lt;&gt;"Checked Out","",'Checkout Log'!$A190)</f>
        <v/>
      </c>
      <c r="B219" s="13" t="str">
        <f aca="false">IF('Checkout Log'!L190&lt;&gt;"Checked Out","",'Checkout Log'!C190)</f>
        <v/>
      </c>
      <c r="C219" s="13" t="str">
        <f aca="false">IF('Checkout Log'!L190&lt;&gt;"Checked Out","",'Checkout Log'!D190)</f>
        <v/>
      </c>
      <c r="D219" s="13" t="str">
        <f aca="false">IF('Checkout Log'!L190&lt;&gt;"Checked Out","",'Checkout Log'!E190)</f>
        <v/>
      </c>
      <c r="E219" s="14" t="str">
        <f aca="false">IF('Checkout Log'!L190&lt;&gt;"Checked Out","",'Checkout Log'!H190)</f>
        <v/>
      </c>
      <c r="F219" s="14" t="str">
        <f aca="false">IF('Checkout Log'!L190&lt;&gt;"Checked Out","",'Checkout Log'!I190)</f>
        <v/>
      </c>
    </row>
    <row r="220" customFormat="false" ht="15" hidden="false" customHeight="false" outlineLevel="0" collapsed="false">
      <c r="A220" s="11" t="str">
        <f aca="false">IF('Checkout Log'!$L191&lt;&gt;"Checked Out","",'Checkout Log'!$A191)</f>
        <v/>
      </c>
      <c r="B220" s="11" t="str">
        <f aca="false">IF('Checkout Log'!L191&lt;&gt;"Checked Out","",'Checkout Log'!C191)</f>
        <v/>
      </c>
      <c r="C220" s="11" t="str">
        <f aca="false">IF('Checkout Log'!L191&lt;&gt;"Checked Out","",'Checkout Log'!D191)</f>
        <v/>
      </c>
      <c r="D220" s="11" t="str">
        <f aca="false">IF('Checkout Log'!L191&lt;&gt;"Checked Out","",'Checkout Log'!E191)</f>
        <v/>
      </c>
      <c r="E220" s="12" t="str">
        <f aca="false">IF('Checkout Log'!L191&lt;&gt;"Checked Out","",'Checkout Log'!H191)</f>
        <v/>
      </c>
      <c r="F220" s="12" t="str">
        <f aca="false">IF('Checkout Log'!L191&lt;&gt;"Checked Out","",'Checkout Log'!I191)</f>
        <v/>
      </c>
    </row>
    <row r="221" customFormat="false" ht="15" hidden="false" customHeight="false" outlineLevel="0" collapsed="false">
      <c r="A221" s="13" t="str">
        <f aca="false">IF('Checkout Log'!$L192&lt;&gt;"Checked Out","",'Checkout Log'!$A192)</f>
        <v/>
      </c>
      <c r="B221" s="13" t="str">
        <f aca="false">IF('Checkout Log'!L192&lt;&gt;"Checked Out","",'Checkout Log'!C192)</f>
        <v/>
      </c>
      <c r="C221" s="13" t="str">
        <f aca="false">IF('Checkout Log'!L192&lt;&gt;"Checked Out","",'Checkout Log'!D192)</f>
        <v/>
      </c>
      <c r="D221" s="13" t="str">
        <f aca="false">IF('Checkout Log'!L192&lt;&gt;"Checked Out","",'Checkout Log'!E192)</f>
        <v/>
      </c>
      <c r="E221" s="14" t="str">
        <f aca="false">IF('Checkout Log'!L192&lt;&gt;"Checked Out","",'Checkout Log'!H192)</f>
        <v/>
      </c>
      <c r="F221" s="14" t="str">
        <f aca="false">IF('Checkout Log'!L192&lt;&gt;"Checked Out","",'Checkout Log'!I192)</f>
        <v/>
      </c>
    </row>
    <row r="222" customFormat="false" ht="15" hidden="false" customHeight="false" outlineLevel="0" collapsed="false">
      <c r="A222" s="11" t="str">
        <f aca="false">IF('Checkout Log'!$L193&lt;&gt;"Checked Out","",'Checkout Log'!$A193)</f>
        <v/>
      </c>
      <c r="B222" s="11" t="str">
        <f aca="false">IF('Checkout Log'!L193&lt;&gt;"Checked Out","",'Checkout Log'!C193)</f>
        <v/>
      </c>
      <c r="C222" s="11" t="str">
        <f aca="false">IF('Checkout Log'!L193&lt;&gt;"Checked Out","",'Checkout Log'!D193)</f>
        <v/>
      </c>
      <c r="D222" s="11" t="str">
        <f aca="false">IF('Checkout Log'!L193&lt;&gt;"Checked Out","",'Checkout Log'!E193)</f>
        <v/>
      </c>
      <c r="E222" s="12" t="str">
        <f aca="false">IF('Checkout Log'!L193&lt;&gt;"Checked Out","",'Checkout Log'!H193)</f>
        <v/>
      </c>
      <c r="F222" s="12" t="str">
        <f aca="false">IF('Checkout Log'!L193&lt;&gt;"Checked Out","",'Checkout Log'!I193)</f>
        <v/>
      </c>
    </row>
    <row r="223" customFormat="false" ht="15" hidden="false" customHeight="false" outlineLevel="0" collapsed="false">
      <c r="A223" s="13" t="str">
        <f aca="false">IF('Checkout Log'!$L194&lt;&gt;"Checked Out","",'Checkout Log'!$A194)</f>
        <v/>
      </c>
      <c r="B223" s="13" t="str">
        <f aca="false">IF('Checkout Log'!L194&lt;&gt;"Checked Out","",'Checkout Log'!C194)</f>
        <v/>
      </c>
      <c r="C223" s="13" t="str">
        <f aca="false">IF('Checkout Log'!L194&lt;&gt;"Checked Out","",'Checkout Log'!D194)</f>
        <v/>
      </c>
      <c r="D223" s="13" t="str">
        <f aca="false">IF('Checkout Log'!L194&lt;&gt;"Checked Out","",'Checkout Log'!E194)</f>
        <v/>
      </c>
      <c r="E223" s="14" t="str">
        <f aca="false">IF('Checkout Log'!L194&lt;&gt;"Checked Out","",'Checkout Log'!H194)</f>
        <v/>
      </c>
      <c r="F223" s="14" t="str">
        <f aca="false">IF('Checkout Log'!L194&lt;&gt;"Checked Out","",'Checkout Log'!I194)</f>
        <v/>
      </c>
    </row>
    <row r="224" customFormat="false" ht="15" hidden="false" customHeight="false" outlineLevel="0" collapsed="false">
      <c r="A224" s="11" t="str">
        <f aca="false">IF('Checkout Log'!$L195&lt;&gt;"Checked Out","",'Checkout Log'!$A195)</f>
        <v/>
      </c>
      <c r="B224" s="11" t="str">
        <f aca="false">IF('Checkout Log'!L195&lt;&gt;"Checked Out","",'Checkout Log'!C195)</f>
        <v/>
      </c>
      <c r="C224" s="11" t="str">
        <f aca="false">IF('Checkout Log'!L195&lt;&gt;"Checked Out","",'Checkout Log'!D195)</f>
        <v/>
      </c>
      <c r="D224" s="11" t="str">
        <f aca="false">IF('Checkout Log'!L195&lt;&gt;"Checked Out","",'Checkout Log'!E195)</f>
        <v/>
      </c>
      <c r="E224" s="12" t="str">
        <f aca="false">IF('Checkout Log'!L195&lt;&gt;"Checked Out","",'Checkout Log'!H195)</f>
        <v/>
      </c>
      <c r="F224" s="12" t="str">
        <f aca="false">IF('Checkout Log'!L195&lt;&gt;"Checked Out","",'Checkout Log'!I195)</f>
        <v/>
      </c>
    </row>
    <row r="225" customFormat="false" ht="15" hidden="false" customHeight="false" outlineLevel="0" collapsed="false">
      <c r="A225" s="13" t="str">
        <f aca="false">IF('Checkout Log'!$L196&lt;&gt;"Checked Out","",'Checkout Log'!$A196)</f>
        <v/>
      </c>
      <c r="B225" s="13" t="str">
        <f aca="false">IF('Checkout Log'!L196&lt;&gt;"Checked Out","",'Checkout Log'!C196)</f>
        <v/>
      </c>
      <c r="C225" s="13" t="str">
        <f aca="false">IF('Checkout Log'!L196&lt;&gt;"Checked Out","",'Checkout Log'!D196)</f>
        <v/>
      </c>
      <c r="D225" s="13" t="str">
        <f aca="false">IF('Checkout Log'!L196&lt;&gt;"Checked Out","",'Checkout Log'!E196)</f>
        <v/>
      </c>
      <c r="E225" s="14" t="str">
        <f aca="false">IF('Checkout Log'!L196&lt;&gt;"Checked Out","",'Checkout Log'!H196)</f>
        <v/>
      </c>
      <c r="F225" s="14" t="str">
        <f aca="false">IF('Checkout Log'!L196&lt;&gt;"Checked Out","",'Checkout Log'!I196)</f>
        <v/>
      </c>
    </row>
    <row r="226" customFormat="false" ht="15" hidden="false" customHeight="false" outlineLevel="0" collapsed="false">
      <c r="A226" s="11" t="str">
        <f aca="false">IF('Checkout Log'!$L197&lt;&gt;"Checked Out","",'Checkout Log'!$A197)</f>
        <v/>
      </c>
      <c r="B226" s="11" t="str">
        <f aca="false">IF('Checkout Log'!L197&lt;&gt;"Checked Out","",'Checkout Log'!C197)</f>
        <v/>
      </c>
      <c r="C226" s="11" t="str">
        <f aca="false">IF('Checkout Log'!L197&lt;&gt;"Checked Out","",'Checkout Log'!D197)</f>
        <v/>
      </c>
      <c r="D226" s="11" t="str">
        <f aca="false">IF('Checkout Log'!L197&lt;&gt;"Checked Out","",'Checkout Log'!E197)</f>
        <v/>
      </c>
      <c r="E226" s="12" t="str">
        <f aca="false">IF('Checkout Log'!L197&lt;&gt;"Checked Out","",'Checkout Log'!H197)</f>
        <v/>
      </c>
      <c r="F226" s="12" t="str">
        <f aca="false">IF('Checkout Log'!L197&lt;&gt;"Checked Out","",'Checkout Log'!I197)</f>
        <v/>
      </c>
    </row>
    <row r="227" customFormat="false" ht="15" hidden="false" customHeight="false" outlineLevel="0" collapsed="false">
      <c r="A227" s="13" t="str">
        <f aca="false">IF('Checkout Log'!$L198&lt;&gt;"Checked Out","",'Checkout Log'!$A198)</f>
        <v/>
      </c>
      <c r="B227" s="13" t="str">
        <f aca="false">IF('Checkout Log'!L198&lt;&gt;"Checked Out","",'Checkout Log'!C198)</f>
        <v/>
      </c>
      <c r="C227" s="13" t="str">
        <f aca="false">IF('Checkout Log'!L198&lt;&gt;"Checked Out","",'Checkout Log'!D198)</f>
        <v/>
      </c>
      <c r="D227" s="13" t="str">
        <f aca="false">IF('Checkout Log'!L198&lt;&gt;"Checked Out","",'Checkout Log'!E198)</f>
        <v/>
      </c>
      <c r="E227" s="14" t="str">
        <f aca="false">IF('Checkout Log'!L198&lt;&gt;"Checked Out","",'Checkout Log'!H198)</f>
        <v/>
      </c>
      <c r="F227" s="14" t="str">
        <f aca="false">IF('Checkout Log'!L198&lt;&gt;"Checked Out","",'Checkout Log'!I198)</f>
        <v/>
      </c>
    </row>
    <row r="228" customFormat="false" ht="15" hidden="false" customHeight="false" outlineLevel="0" collapsed="false">
      <c r="A228" s="11" t="str">
        <f aca="false">IF('Checkout Log'!$L199&lt;&gt;"Checked Out","",'Checkout Log'!$A199)</f>
        <v/>
      </c>
      <c r="B228" s="11" t="str">
        <f aca="false">IF('Checkout Log'!L199&lt;&gt;"Checked Out","",'Checkout Log'!C199)</f>
        <v/>
      </c>
      <c r="C228" s="11" t="str">
        <f aca="false">IF('Checkout Log'!L199&lt;&gt;"Checked Out","",'Checkout Log'!D199)</f>
        <v/>
      </c>
      <c r="D228" s="11" t="str">
        <f aca="false">IF('Checkout Log'!L199&lt;&gt;"Checked Out","",'Checkout Log'!E199)</f>
        <v/>
      </c>
      <c r="E228" s="12" t="str">
        <f aca="false">IF('Checkout Log'!L199&lt;&gt;"Checked Out","",'Checkout Log'!H199)</f>
        <v/>
      </c>
      <c r="F228" s="12" t="str">
        <f aca="false">IF('Checkout Log'!L199&lt;&gt;"Checked Out","",'Checkout Log'!I199)</f>
        <v/>
      </c>
    </row>
    <row r="229" customFormat="false" ht="15" hidden="false" customHeight="false" outlineLevel="0" collapsed="false">
      <c r="A229" s="13" t="str">
        <f aca="false">IF('Checkout Log'!$L200&lt;&gt;"Checked Out","",'Checkout Log'!$A200)</f>
        <v/>
      </c>
      <c r="B229" s="13" t="str">
        <f aca="false">IF('Checkout Log'!L200&lt;&gt;"Checked Out","",'Checkout Log'!C200)</f>
        <v/>
      </c>
      <c r="C229" s="13" t="str">
        <f aca="false">IF('Checkout Log'!L200&lt;&gt;"Checked Out","",'Checkout Log'!D200)</f>
        <v/>
      </c>
      <c r="D229" s="13" t="str">
        <f aca="false">IF('Checkout Log'!L200&lt;&gt;"Checked Out","",'Checkout Log'!E200)</f>
        <v/>
      </c>
      <c r="E229" s="14" t="str">
        <f aca="false">IF('Checkout Log'!L200&lt;&gt;"Checked Out","",'Checkout Log'!H200)</f>
        <v/>
      </c>
      <c r="F229" s="14" t="str">
        <f aca="false">IF('Checkout Log'!L200&lt;&gt;"Checked Out","",'Checkout Log'!I200)</f>
        <v/>
      </c>
    </row>
    <row r="230" customFormat="false" ht="15" hidden="false" customHeight="false" outlineLevel="0" collapsed="false">
      <c r="A230" s="11" t="str">
        <f aca="false">IF('Checkout Log'!$L201&lt;&gt;"Checked Out","",'Checkout Log'!$A201)</f>
        <v/>
      </c>
      <c r="B230" s="11" t="str">
        <f aca="false">IF('Checkout Log'!L201&lt;&gt;"Checked Out","",'Checkout Log'!C201)</f>
        <v/>
      </c>
      <c r="C230" s="11" t="str">
        <f aca="false">IF('Checkout Log'!L201&lt;&gt;"Checked Out","",'Checkout Log'!D201)</f>
        <v/>
      </c>
      <c r="D230" s="11" t="str">
        <f aca="false">IF('Checkout Log'!L201&lt;&gt;"Checked Out","",'Checkout Log'!E201)</f>
        <v/>
      </c>
      <c r="E230" s="12" t="str">
        <f aca="false">IF('Checkout Log'!L201&lt;&gt;"Checked Out","",'Checkout Log'!H201)</f>
        <v/>
      </c>
      <c r="F230" s="12" t="str">
        <f aca="false">IF('Checkout Log'!L201&lt;&gt;"Checked Out","",'Checkout Log'!I201)</f>
        <v/>
      </c>
    </row>
    <row r="231" customFormat="false" ht="15" hidden="false" customHeight="false" outlineLevel="0" collapsed="false">
      <c r="A231" s="13" t="str">
        <f aca="false">IF('Checkout Log'!$L202&lt;&gt;"Checked Out","",'Checkout Log'!$A202)</f>
        <v/>
      </c>
      <c r="B231" s="13" t="str">
        <f aca="false">IF('Checkout Log'!L202&lt;&gt;"Checked Out","",'Checkout Log'!C202)</f>
        <v/>
      </c>
      <c r="C231" s="13" t="str">
        <f aca="false">IF('Checkout Log'!L202&lt;&gt;"Checked Out","",'Checkout Log'!D202)</f>
        <v/>
      </c>
      <c r="D231" s="13" t="str">
        <f aca="false">IF('Checkout Log'!L202&lt;&gt;"Checked Out","",'Checkout Log'!E202)</f>
        <v/>
      </c>
      <c r="E231" s="14" t="str">
        <f aca="false">IF('Checkout Log'!L202&lt;&gt;"Checked Out","",'Checkout Log'!H202)</f>
        <v/>
      </c>
      <c r="F231" s="14" t="str">
        <f aca="false">IF('Checkout Log'!L202&lt;&gt;"Checked Out","",'Checkout Log'!I202)</f>
        <v/>
      </c>
    </row>
    <row r="232" customFormat="false" ht="15" hidden="false" customHeight="false" outlineLevel="0" collapsed="false">
      <c r="A232" s="11" t="str">
        <f aca="false">IF('Checkout Log'!$L203&lt;&gt;"Checked Out","",'Checkout Log'!$A203)</f>
        <v/>
      </c>
      <c r="B232" s="11" t="str">
        <f aca="false">IF('Checkout Log'!L203&lt;&gt;"Checked Out","",'Checkout Log'!C203)</f>
        <v/>
      </c>
      <c r="C232" s="11" t="str">
        <f aca="false">IF('Checkout Log'!L203&lt;&gt;"Checked Out","",'Checkout Log'!D203)</f>
        <v/>
      </c>
      <c r="D232" s="11" t="str">
        <f aca="false">IF('Checkout Log'!L203&lt;&gt;"Checked Out","",'Checkout Log'!E203)</f>
        <v/>
      </c>
      <c r="E232" s="12" t="str">
        <f aca="false">IF('Checkout Log'!L203&lt;&gt;"Checked Out","",'Checkout Log'!H203)</f>
        <v/>
      </c>
      <c r="F232" s="12" t="str">
        <f aca="false">IF('Checkout Log'!L203&lt;&gt;"Checked Out","",'Checkout Log'!I203)</f>
        <v/>
      </c>
    </row>
    <row r="233" customFormat="false" ht="15" hidden="false" customHeight="false" outlineLevel="0" collapsed="false">
      <c r="A233" s="13" t="str">
        <f aca="false">IF('Checkout Log'!$L204&lt;&gt;"Checked Out","",'Checkout Log'!$A204)</f>
        <v/>
      </c>
      <c r="B233" s="13" t="str">
        <f aca="false">IF('Checkout Log'!L204&lt;&gt;"Checked Out","",'Checkout Log'!C204)</f>
        <v/>
      </c>
      <c r="C233" s="13" t="str">
        <f aca="false">IF('Checkout Log'!L204&lt;&gt;"Checked Out","",'Checkout Log'!D204)</f>
        <v/>
      </c>
      <c r="D233" s="13" t="str">
        <f aca="false">IF('Checkout Log'!L204&lt;&gt;"Checked Out","",'Checkout Log'!E204)</f>
        <v/>
      </c>
      <c r="E233" s="14" t="str">
        <f aca="false">IF('Checkout Log'!L204&lt;&gt;"Checked Out","",'Checkout Log'!H204)</f>
        <v/>
      </c>
      <c r="F233" s="14" t="str">
        <f aca="false">IF('Checkout Log'!L204&lt;&gt;"Checked Out","",'Checkout Log'!I204)</f>
        <v/>
      </c>
    </row>
    <row r="234" customFormat="false" ht="15" hidden="false" customHeight="false" outlineLevel="0" collapsed="false">
      <c r="A234" s="11" t="str">
        <f aca="false">IF('Checkout Log'!$L205&lt;&gt;"Checked Out","",'Checkout Log'!$A205)</f>
        <v/>
      </c>
      <c r="B234" s="11" t="str">
        <f aca="false">IF('Checkout Log'!L205&lt;&gt;"Checked Out","",'Checkout Log'!C205)</f>
        <v/>
      </c>
      <c r="C234" s="11" t="str">
        <f aca="false">IF('Checkout Log'!L205&lt;&gt;"Checked Out","",'Checkout Log'!D205)</f>
        <v/>
      </c>
      <c r="D234" s="11" t="str">
        <f aca="false">IF('Checkout Log'!L205&lt;&gt;"Checked Out","",'Checkout Log'!E205)</f>
        <v/>
      </c>
      <c r="E234" s="12" t="str">
        <f aca="false">IF('Checkout Log'!L205&lt;&gt;"Checked Out","",'Checkout Log'!H205)</f>
        <v/>
      </c>
      <c r="F234" s="12" t="str">
        <f aca="false">IF('Checkout Log'!L205&lt;&gt;"Checked Out","",'Checkout Log'!I205)</f>
        <v/>
      </c>
    </row>
    <row r="235" customFormat="false" ht="15" hidden="false" customHeight="false" outlineLevel="0" collapsed="false">
      <c r="A235" s="13" t="str">
        <f aca="false">IF('Checkout Log'!$L206&lt;&gt;"Checked Out","",'Checkout Log'!$A206)</f>
        <v/>
      </c>
      <c r="B235" s="13" t="str">
        <f aca="false">IF('Checkout Log'!L206&lt;&gt;"Checked Out","",'Checkout Log'!C206)</f>
        <v/>
      </c>
      <c r="C235" s="13" t="str">
        <f aca="false">IF('Checkout Log'!L206&lt;&gt;"Checked Out","",'Checkout Log'!D206)</f>
        <v/>
      </c>
      <c r="D235" s="13" t="str">
        <f aca="false">IF('Checkout Log'!L206&lt;&gt;"Checked Out","",'Checkout Log'!E206)</f>
        <v/>
      </c>
      <c r="E235" s="14" t="str">
        <f aca="false">IF('Checkout Log'!L206&lt;&gt;"Checked Out","",'Checkout Log'!H206)</f>
        <v/>
      </c>
      <c r="F235" s="14" t="str">
        <f aca="false">IF('Checkout Log'!L206&lt;&gt;"Checked Out","",'Checkout Log'!I206)</f>
        <v/>
      </c>
    </row>
    <row r="236" customFormat="false" ht="15" hidden="false" customHeight="false" outlineLevel="0" collapsed="false">
      <c r="A236" s="11" t="str">
        <f aca="false">IF('Checkout Log'!$L207&lt;&gt;"Checked Out","",'Checkout Log'!$A207)</f>
        <v/>
      </c>
      <c r="B236" s="11" t="str">
        <f aca="false">IF('Checkout Log'!L207&lt;&gt;"Checked Out","",'Checkout Log'!C207)</f>
        <v/>
      </c>
      <c r="C236" s="11" t="str">
        <f aca="false">IF('Checkout Log'!L207&lt;&gt;"Checked Out","",'Checkout Log'!D207)</f>
        <v/>
      </c>
      <c r="D236" s="11" t="str">
        <f aca="false">IF('Checkout Log'!L207&lt;&gt;"Checked Out","",'Checkout Log'!E207)</f>
        <v/>
      </c>
      <c r="E236" s="12" t="str">
        <f aca="false">IF('Checkout Log'!L207&lt;&gt;"Checked Out","",'Checkout Log'!H207)</f>
        <v/>
      </c>
      <c r="F236" s="12" t="str">
        <f aca="false">IF('Checkout Log'!L207&lt;&gt;"Checked Out","",'Checkout Log'!I207)</f>
        <v/>
      </c>
    </row>
    <row r="237" customFormat="false" ht="15" hidden="false" customHeight="false" outlineLevel="0" collapsed="false">
      <c r="A237" s="13" t="str">
        <f aca="false">IF('Checkout Log'!$L208&lt;&gt;"Checked Out","",'Checkout Log'!$A208)</f>
        <v/>
      </c>
      <c r="B237" s="13" t="str">
        <f aca="false">IF('Checkout Log'!L208&lt;&gt;"Checked Out","",'Checkout Log'!C208)</f>
        <v/>
      </c>
      <c r="C237" s="13" t="str">
        <f aca="false">IF('Checkout Log'!L208&lt;&gt;"Checked Out","",'Checkout Log'!D208)</f>
        <v/>
      </c>
      <c r="D237" s="13" t="str">
        <f aca="false">IF('Checkout Log'!L208&lt;&gt;"Checked Out","",'Checkout Log'!E208)</f>
        <v/>
      </c>
      <c r="E237" s="14" t="str">
        <f aca="false">IF('Checkout Log'!L208&lt;&gt;"Checked Out","",'Checkout Log'!H208)</f>
        <v/>
      </c>
      <c r="F237" s="14" t="str">
        <f aca="false">IF('Checkout Log'!L208&lt;&gt;"Checked Out","",'Checkout Log'!I208)</f>
        <v/>
      </c>
    </row>
    <row r="238" customFormat="false" ht="15" hidden="false" customHeight="false" outlineLevel="0" collapsed="false">
      <c r="A238" s="11" t="str">
        <f aca="false">IF('Checkout Log'!$L209&lt;&gt;"Checked Out","",'Checkout Log'!$A209)</f>
        <v/>
      </c>
      <c r="B238" s="11" t="str">
        <f aca="false">IF('Checkout Log'!L209&lt;&gt;"Checked Out","",'Checkout Log'!C209)</f>
        <v/>
      </c>
      <c r="C238" s="11" t="str">
        <f aca="false">IF('Checkout Log'!L209&lt;&gt;"Checked Out","",'Checkout Log'!D209)</f>
        <v/>
      </c>
      <c r="D238" s="11" t="str">
        <f aca="false">IF('Checkout Log'!L209&lt;&gt;"Checked Out","",'Checkout Log'!E209)</f>
        <v/>
      </c>
      <c r="E238" s="12" t="str">
        <f aca="false">IF('Checkout Log'!L209&lt;&gt;"Checked Out","",'Checkout Log'!H209)</f>
        <v/>
      </c>
      <c r="F238" s="12" t="str">
        <f aca="false">IF('Checkout Log'!L209&lt;&gt;"Checked Out","",'Checkout Log'!I209)</f>
        <v/>
      </c>
    </row>
    <row r="239" customFormat="false" ht="15" hidden="false" customHeight="false" outlineLevel="0" collapsed="false">
      <c r="A239" s="13" t="str">
        <f aca="false">IF('Checkout Log'!$L210&lt;&gt;"Checked Out","",'Checkout Log'!$A210)</f>
        <v/>
      </c>
      <c r="B239" s="13" t="str">
        <f aca="false">IF('Checkout Log'!L210&lt;&gt;"Checked Out","",'Checkout Log'!C210)</f>
        <v/>
      </c>
      <c r="C239" s="13" t="str">
        <f aca="false">IF('Checkout Log'!L210&lt;&gt;"Checked Out","",'Checkout Log'!D210)</f>
        <v/>
      </c>
      <c r="D239" s="13" t="str">
        <f aca="false">IF('Checkout Log'!L210&lt;&gt;"Checked Out","",'Checkout Log'!E210)</f>
        <v/>
      </c>
      <c r="E239" s="14" t="str">
        <f aca="false">IF('Checkout Log'!L210&lt;&gt;"Checked Out","",'Checkout Log'!H210)</f>
        <v/>
      </c>
      <c r="F239" s="14" t="str">
        <f aca="false">IF('Checkout Log'!L210&lt;&gt;"Checked Out","",'Checkout Log'!I210)</f>
        <v/>
      </c>
    </row>
    <row r="240" customFormat="false" ht="15" hidden="false" customHeight="false" outlineLevel="0" collapsed="false">
      <c r="A240" s="11" t="str">
        <f aca="false">IF('Checkout Log'!$L211&lt;&gt;"Checked Out","",'Checkout Log'!$A211)</f>
        <v/>
      </c>
      <c r="B240" s="11" t="str">
        <f aca="false">IF('Checkout Log'!L211&lt;&gt;"Checked Out","",'Checkout Log'!C211)</f>
        <v/>
      </c>
      <c r="C240" s="11" t="str">
        <f aca="false">IF('Checkout Log'!L211&lt;&gt;"Checked Out","",'Checkout Log'!D211)</f>
        <v/>
      </c>
      <c r="D240" s="11" t="str">
        <f aca="false">IF('Checkout Log'!L211&lt;&gt;"Checked Out","",'Checkout Log'!E211)</f>
        <v/>
      </c>
      <c r="E240" s="12" t="str">
        <f aca="false">IF('Checkout Log'!L211&lt;&gt;"Checked Out","",'Checkout Log'!H211)</f>
        <v/>
      </c>
      <c r="F240" s="12" t="str">
        <f aca="false">IF('Checkout Log'!L211&lt;&gt;"Checked Out","",'Checkout Log'!I211)</f>
        <v/>
      </c>
    </row>
    <row r="241" customFormat="false" ht="15" hidden="false" customHeight="false" outlineLevel="0" collapsed="false">
      <c r="A241" s="13" t="str">
        <f aca="false">IF('Checkout Log'!$L212&lt;&gt;"Checked Out","",'Checkout Log'!$A212)</f>
        <v/>
      </c>
      <c r="B241" s="13" t="str">
        <f aca="false">IF('Checkout Log'!L212&lt;&gt;"Checked Out","",'Checkout Log'!C212)</f>
        <v/>
      </c>
      <c r="C241" s="13" t="str">
        <f aca="false">IF('Checkout Log'!L212&lt;&gt;"Checked Out","",'Checkout Log'!D212)</f>
        <v/>
      </c>
      <c r="D241" s="13" t="str">
        <f aca="false">IF('Checkout Log'!L212&lt;&gt;"Checked Out","",'Checkout Log'!E212)</f>
        <v/>
      </c>
      <c r="E241" s="14" t="str">
        <f aca="false">IF('Checkout Log'!L212&lt;&gt;"Checked Out","",'Checkout Log'!H212)</f>
        <v/>
      </c>
      <c r="F241" s="14" t="str">
        <f aca="false">IF('Checkout Log'!L212&lt;&gt;"Checked Out","",'Checkout Log'!I212)</f>
        <v/>
      </c>
    </row>
    <row r="242" customFormat="false" ht="15" hidden="false" customHeight="false" outlineLevel="0" collapsed="false">
      <c r="A242" s="11" t="str">
        <f aca="false">IF('Checkout Log'!$L213&lt;&gt;"Checked Out","",'Checkout Log'!$A213)</f>
        <v/>
      </c>
      <c r="B242" s="11" t="str">
        <f aca="false">IF('Checkout Log'!L213&lt;&gt;"Checked Out","",'Checkout Log'!C213)</f>
        <v/>
      </c>
      <c r="C242" s="11" t="str">
        <f aca="false">IF('Checkout Log'!L213&lt;&gt;"Checked Out","",'Checkout Log'!D213)</f>
        <v/>
      </c>
      <c r="D242" s="11" t="str">
        <f aca="false">IF('Checkout Log'!L213&lt;&gt;"Checked Out","",'Checkout Log'!E213)</f>
        <v/>
      </c>
      <c r="E242" s="12" t="str">
        <f aca="false">IF('Checkout Log'!L213&lt;&gt;"Checked Out","",'Checkout Log'!H213)</f>
        <v/>
      </c>
      <c r="F242" s="12" t="str">
        <f aca="false">IF('Checkout Log'!L213&lt;&gt;"Checked Out","",'Checkout Log'!I213)</f>
        <v/>
      </c>
    </row>
    <row r="243" customFormat="false" ht="15" hidden="false" customHeight="false" outlineLevel="0" collapsed="false">
      <c r="A243" s="13" t="str">
        <f aca="false">IF('Checkout Log'!$L214&lt;&gt;"Checked Out","",'Checkout Log'!$A214)</f>
        <v/>
      </c>
      <c r="B243" s="13" t="str">
        <f aca="false">IF('Checkout Log'!L214&lt;&gt;"Checked Out","",'Checkout Log'!C214)</f>
        <v/>
      </c>
      <c r="C243" s="13" t="str">
        <f aca="false">IF('Checkout Log'!L214&lt;&gt;"Checked Out","",'Checkout Log'!D214)</f>
        <v/>
      </c>
      <c r="D243" s="13" t="str">
        <f aca="false">IF('Checkout Log'!L214&lt;&gt;"Checked Out","",'Checkout Log'!E214)</f>
        <v/>
      </c>
      <c r="E243" s="14" t="str">
        <f aca="false">IF('Checkout Log'!L214&lt;&gt;"Checked Out","",'Checkout Log'!H214)</f>
        <v/>
      </c>
      <c r="F243" s="14" t="str">
        <f aca="false">IF('Checkout Log'!L214&lt;&gt;"Checked Out","",'Checkout Log'!I214)</f>
        <v/>
      </c>
    </row>
    <row r="244" customFormat="false" ht="15" hidden="false" customHeight="false" outlineLevel="0" collapsed="false">
      <c r="A244" s="11" t="str">
        <f aca="false">IF('Checkout Log'!$L215&lt;&gt;"Checked Out","",'Checkout Log'!$A215)</f>
        <v/>
      </c>
      <c r="B244" s="11" t="str">
        <f aca="false">IF('Checkout Log'!L215&lt;&gt;"Checked Out","",'Checkout Log'!C215)</f>
        <v/>
      </c>
      <c r="C244" s="11" t="str">
        <f aca="false">IF('Checkout Log'!L215&lt;&gt;"Checked Out","",'Checkout Log'!D215)</f>
        <v/>
      </c>
      <c r="D244" s="11" t="str">
        <f aca="false">IF('Checkout Log'!L215&lt;&gt;"Checked Out","",'Checkout Log'!E215)</f>
        <v/>
      </c>
      <c r="E244" s="12" t="str">
        <f aca="false">IF('Checkout Log'!L215&lt;&gt;"Checked Out","",'Checkout Log'!H215)</f>
        <v/>
      </c>
      <c r="F244" s="12" t="str">
        <f aca="false">IF('Checkout Log'!L215&lt;&gt;"Checked Out","",'Checkout Log'!I215)</f>
        <v/>
      </c>
    </row>
    <row r="245" customFormat="false" ht="15" hidden="false" customHeight="false" outlineLevel="0" collapsed="false">
      <c r="A245" s="13" t="str">
        <f aca="false">IF('Checkout Log'!$L216&lt;&gt;"Checked Out","",'Checkout Log'!$A216)</f>
        <v/>
      </c>
      <c r="B245" s="13" t="str">
        <f aca="false">IF('Checkout Log'!L216&lt;&gt;"Checked Out","",'Checkout Log'!C216)</f>
        <v/>
      </c>
      <c r="C245" s="13" t="str">
        <f aca="false">IF('Checkout Log'!L216&lt;&gt;"Checked Out","",'Checkout Log'!D216)</f>
        <v/>
      </c>
      <c r="D245" s="13" t="str">
        <f aca="false">IF('Checkout Log'!L216&lt;&gt;"Checked Out","",'Checkout Log'!E216)</f>
        <v/>
      </c>
      <c r="E245" s="14" t="str">
        <f aca="false">IF('Checkout Log'!L216&lt;&gt;"Checked Out","",'Checkout Log'!H216)</f>
        <v/>
      </c>
      <c r="F245" s="14" t="str">
        <f aca="false">IF('Checkout Log'!L216&lt;&gt;"Checked Out","",'Checkout Log'!I216)</f>
        <v/>
      </c>
    </row>
    <row r="246" customFormat="false" ht="15" hidden="false" customHeight="false" outlineLevel="0" collapsed="false">
      <c r="A246" s="11" t="str">
        <f aca="false">IF('Checkout Log'!$L217&lt;&gt;"Checked Out","",'Checkout Log'!$A217)</f>
        <v/>
      </c>
      <c r="B246" s="11" t="str">
        <f aca="false">IF('Checkout Log'!L217&lt;&gt;"Checked Out","",'Checkout Log'!C217)</f>
        <v/>
      </c>
      <c r="C246" s="11" t="str">
        <f aca="false">IF('Checkout Log'!L217&lt;&gt;"Checked Out","",'Checkout Log'!D217)</f>
        <v/>
      </c>
      <c r="D246" s="11" t="str">
        <f aca="false">IF('Checkout Log'!L217&lt;&gt;"Checked Out","",'Checkout Log'!E217)</f>
        <v/>
      </c>
      <c r="E246" s="12" t="str">
        <f aca="false">IF('Checkout Log'!L217&lt;&gt;"Checked Out","",'Checkout Log'!H217)</f>
        <v/>
      </c>
      <c r="F246" s="12" t="str">
        <f aca="false">IF('Checkout Log'!L217&lt;&gt;"Checked Out","",'Checkout Log'!I217)</f>
        <v/>
      </c>
    </row>
    <row r="247" customFormat="false" ht="15" hidden="false" customHeight="false" outlineLevel="0" collapsed="false">
      <c r="A247" s="13" t="str">
        <f aca="false">IF('Checkout Log'!$L218&lt;&gt;"Checked Out","",'Checkout Log'!$A218)</f>
        <v/>
      </c>
      <c r="B247" s="13" t="str">
        <f aca="false">IF('Checkout Log'!L218&lt;&gt;"Checked Out","",'Checkout Log'!C218)</f>
        <v/>
      </c>
      <c r="C247" s="13" t="str">
        <f aca="false">IF('Checkout Log'!L218&lt;&gt;"Checked Out","",'Checkout Log'!D218)</f>
        <v/>
      </c>
      <c r="D247" s="13" t="str">
        <f aca="false">IF('Checkout Log'!L218&lt;&gt;"Checked Out","",'Checkout Log'!E218)</f>
        <v/>
      </c>
      <c r="E247" s="14" t="str">
        <f aca="false">IF('Checkout Log'!L218&lt;&gt;"Checked Out","",'Checkout Log'!H218)</f>
        <v/>
      </c>
      <c r="F247" s="14" t="str">
        <f aca="false">IF('Checkout Log'!L218&lt;&gt;"Checked Out","",'Checkout Log'!I218)</f>
        <v/>
      </c>
    </row>
    <row r="248" customFormat="false" ht="15" hidden="false" customHeight="false" outlineLevel="0" collapsed="false">
      <c r="A248" s="11" t="str">
        <f aca="false">IF('Checkout Log'!$L219&lt;&gt;"Checked Out","",'Checkout Log'!$A219)</f>
        <v/>
      </c>
      <c r="B248" s="11" t="str">
        <f aca="false">IF('Checkout Log'!L219&lt;&gt;"Checked Out","",'Checkout Log'!C219)</f>
        <v/>
      </c>
      <c r="C248" s="11" t="str">
        <f aca="false">IF('Checkout Log'!L219&lt;&gt;"Checked Out","",'Checkout Log'!D219)</f>
        <v/>
      </c>
      <c r="D248" s="11" t="str">
        <f aca="false">IF('Checkout Log'!L219&lt;&gt;"Checked Out","",'Checkout Log'!E219)</f>
        <v/>
      </c>
      <c r="E248" s="12" t="str">
        <f aca="false">IF('Checkout Log'!L219&lt;&gt;"Checked Out","",'Checkout Log'!H219)</f>
        <v/>
      </c>
      <c r="F248" s="12" t="str">
        <f aca="false">IF('Checkout Log'!L219&lt;&gt;"Checked Out","",'Checkout Log'!I219)</f>
        <v/>
      </c>
    </row>
    <row r="249" customFormat="false" ht="15" hidden="false" customHeight="false" outlineLevel="0" collapsed="false">
      <c r="A249" s="13" t="str">
        <f aca="false">IF('Checkout Log'!$L220&lt;&gt;"Checked Out","",'Checkout Log'!$A220)</f>
        <v/>
      </c>
      <c r="B249" s="13" t="str">
        <f aca="false">IF('Checkout Log'!L220&lt;&gt;"Checked Out","",'Checkout Log'!C220)</f>
        <v/>
      </c>
      <c r="C249" s="13" t="str">
        <f aca="false">IF('Checkout Log'!L220&lt;&gt;"Checked Out","",'Checkout Log'!D220)</f>
        <v/>
      </c>
      <c r="D249" s="13" t="str">
        <f aca="false">IF('Checkout Log'!L220&lt;&gt;"Checked Out","",'Checkout Log'!E220)</f>
        <v/>
      </c>
      <c r="E249" s="14" t="str">
        <f aca="false">IF('Checkout Log'!L220&lt;&gt;"Checked Out","",'Checkout Log'!H220)</f>
        <v/>
      </c>
      <c r="F249" s="14" t="str">
        <f aca="false">IF('Checkout Log'!L220&lt;&gt;"Checked Out","",'Checkout Log'!I220)</f>
        <v/>
      </c>
    </row>
    <row r="250" customFormat="false" ht="15" hidden="false" customHeight="false" outlineLevel="0" collapsed="false">
      <c r="A250" s="11" t="str">
        <f aca="false">IF('Checkout Log'!$L221&lt;&gt;"Checked Out","",'Checkout Log'!$A221)</f>
        <v/>
      </c>
      <c r="B250" s="11" t="str">
        <f aca="false">IF('Checkout Log'!L221&lt;&gt;"Checked Out","",'Checkout Log'!C221)</f>
        <v/>
      </c>
      <c r="C250" s="11" t="str">
        <f aca="false">IF('Checkout Log'!L221&lt;&gt;"Checked Out","",'Checkout Log'!D221)</f>
        <v/>
      </c>
      <c r="D250" s="11" t="str">
        <f aca="false">IF('Checkout Log'!L221&lt;&gt;"Checked Out","",'Checkout Log'!E221)</f>
        <v/>
      </c>
      <c r="E250" s="12" t="str">
        <f aca="false">IF('Checkout Log'!L221&lt;&gt;"Checked Out","",'Checkout Log'!H221)</f>
        <v/>
      </c>
      <c r="F250" s="12" t="str">
        <f aca="false">IF('Checkout Log'!L221&lt;&gt;"Checked Out","",'Checkout Log'!I221)</f>
        <v/>
      </c>
    </row>
    <row r="251" customFormat="false" ht="15" hidden="false" customHeight="false" outlineLevel="0" collapsed="false">
      <c r="A251" s="13" t="str">
        <f aca="false">IF('Checkout Log'!$L222&lt;&gt;"Checked Out","",'Checkout Log'!$A222)</f>
        <v/>
      </c>
      <c r="B251" s="13" t="str">
        <f aca="false">IF('Checkout Log'!L222&lt;&gt;"Checked Out","",'Checkout Log'!C222)</f>
        <v/>
      </c>
      <c r="C251" s="13" t="str">
        <f aca="false">IF('Checkout Log'!L222&lt;&gt;"Checked Out","",'Checkout Log'!D222)</f>
        <v/>
      </c>
      <c r="D251" s="13" t="str">
        <f aca="false">IF('Checkout Log'!L222&lt;&gt;"Checked Out","",'Checkout Log'!E222)</f>
        <v/>
      </c>
      <c r="E251" s="14" t="str">
        <f aca="false">IF('Checkout Log'!L222&lt;&gt;"Checked Out","",'Checkout Log'!H222)</f>
        <v/>
      </c>
      <c r="F251" s="14" t="str">
        <f aca="false">IF('Checkout Log'!L222&lt;&gt;"Checked Out","",'Checkout Log'!I222)</f>
        <v/>
      </c>
    </row>
    <row r="252" customFormat="false" ht="15" hidden="false" customHeight="false" outlineLevel="0" collapsed="false">
      <c r="A252" s="11" t="str">
        <f aca="false">IF('Checkout Log'!$L223&lt;&gt;"Checked Out","",'Checkout Log'!$A223)</f>
        <v/>
      </c>
      <c r="B252" s="11" t="str">
        <f aca="false">IF('Checkout Log'!L223&lt;&gt;"Checked Out","",'Checkout Log'!C223)</f>
        <v/>
      </c>
      <c r="C252" s="11" t="str">
        <f aca="false">IF('Checkout Log'!L223&lt;&gt;"Checked Out","",'Checkout Log'!D223)</f>
        <v/>
      </c>
      <c r="D252" s="11" t="str">
        <f aca="false">IF('Checkout Log'!L223&lt;&gt;"Checked Out","",'Checkout Log'!E223)</f>
        <v/>
      </c>
      <c r="E252" s="12" t="str">
        <f aca="false">IF('Checkout Log'!L223&lt;&gt;"Checked Out","",'Checkout Log'!H223)</f>
        <v/>
      </c>
      <c r="F252" s="12" t="str">
        <f aca="false">IF('Checkout Log'!L223&lt;&gt;"Checked Out","",'Checkout Log'!I223)</f>
        <v/>
      </c>
    </row>
    <row r="253" customFormat="false" ht="15" hidden="false" customHeight="false" outlineLevel="0" collapsed="false">
      <c r="A253" s="13" t="str">
        <f aca="false">IF('Checkout Log'!$L224&lt;&gt;"Checked Out","",'Checkout Log'!$A224)</f>
        <v/>
      </c>
      <c r="B253" s="13" t="str">
        <f aca="false">IF('Checkout Log'!L224&lt;&gt;"Checked Out","",'Checkout Log'!C224)</f>
        <v/>
      </c>
      <c r="C253" s="13" t="str">
        <f aca="false">IF('Checkout Log'!L224&lt;&gt;"Checked Out","",'Checkout Log'!D224)</f>
        <v/>
      </c>
      <c r="D253" s="13" t="str">
        <f aca="false">IF('Checkout Log'!L224&lt;&gt;"Checked Out","",'Checkout Log'!E224)</f>
        <v/>
      </c>
      <c r="E253" s="14" t="str">
        <f aca="false">IF('Checkout Log'!L224&lt;&gt;"Checked Out","",'Checkout Log'!H224)</f>
        <v/>
      </c>
      <c r="F253" s="14" t="str">
        <f aca="false">IF('Checkout Log'!L224&lt;&gt;"Checked Out","",'Checkout Log'!I224)</f>
        <v/>
      </c>
    </row>
    <row r="254" customFormat="false" ht="15" hidden="false" customHeight="false" outlineLevel="0" collapsed="false">
      <c r="A254" s="11" t="str">
        <f aca="false">IF('Checkout Log'!$L225&lt;&gt;"Checked Out","",'Checkout Log'!$A225)</f>
        <v/>
      </c>
      <c r="B254" s="11" t="str">
        <f aca="false">IF('Checkout Log'!L225&lt;&gt;"Checked Out","",'Checkout Log'!C225)</f>
        <v/>
      </c>
      <c r="C254" s="11" t="str">
        <f aca="false">IF('Checkout Log'!L225&lt;&gt;"Checked Out","",'Checkout Log'!D225)</f>
        <v/>
      </c>
      <c r="D254" s="11" t="str">
        <f aca="false">IF('Checkout Log'!L225&lt;&gt;"Checked Out","",'Checkout Log'!E225)</f>
        <v/>
      </c>
      <c r="E254" s="12" t="str">
        <f aca="false">IF('Checkout Log'!L225&lt;&gt;"Checked Out","",'Checkout Log'!H225)</f>
        <v/>
      </c>
      <c r="F254" s="12" t="str">
        <f aca="false">IF('Checkout Log'!L225&lt;&gt;"Checked Out","",'Checkout Log'!I225)</f>
        <v/>
      </c>
    </row>
    <row r="255" customFormat="false" ht="15" hidden="false" customHeight="false" outlineLevel="0" collapsed="false">
      <c r="A255" s="13" t="str">
        <f aca="false">IF('Checkout Log'!$L226&lt;&gt;"Checked Out","",'Checkout Log'!$A226)</f>
        <v/>
      </c>
      <c r="B255" s="13" t="str">
        <f aca="false">IF('Checkout Log'!L226&lt;&gt;"Checked Out","",'Checkout Log'!C226)</f>
        <v/>
      </c>
      <c r="C255" s="13" t="str">
        <f aca="false">IF('Checkout Log'!L226&lt;&gt;"Checked Out","",'Checkout Log'!D226)</f>
        <v/>
      </c>
      <c r="D255" s="13" t="str">
        <f aca="false">IF('Checkout Log'!L226&lt;&gt;"Checked Out","",'Checkout Log'!E226)</f>
        <v/>
      </c>
      <c r="E255" s="14" t="str">
        <f aca="false">IF('Checkout Log'!L226&lt;&gt;"Checked Out","",'Checkout Log'!H226)</f>
        <v/>
      </c>
      <c r="F255" s="14" t="str">
        <f aca="false">IF('Checkout Log'!L226&lt;&gt;"Checked Out","",'Checkout Log'!I226)</f>
        <v/>
      </c>
    </row>
    <row r="256" customFormat="false" ht="15" hidden="false" customHeight="false" outlineLevel="0" collapsed="false">
      <c r="A256" s="11" t="str">
        <f aca="false">IF('Checkout Log'!$L227&lt;&gt;"Checked Out","",'Checkout Log'!$A227)</f>
        <v/>
      </c>
      <c r="B256" s="11" t="str">
        <f aca="false">IF('Checkout Log'!L227&lt;&gt;"Checked Out","",'Checkout Log'!C227)</f>
        <v/>
      </c>
      <c r="C256" s="11" t="str">
        <f aca="false">IF('Checkout Log'!L227&lt;&gt;"Checked Out","",'Checkout Log'!D227)</f>
        <v/>
      </c>
      <c r="D256" s="11" t="str">
        <f aca="false">IF('Checkout Log'!L227&lt;&gt;"Checked Out","",'Checkout Log'!E227)</f>
        <v/>
      </c>
      <c r="E256" s="12" t="str">
        <f aca="false">IF('Checkout Log'!L227&lt;&gt;"Checked Out","",'Checkout Log'!H227)</f>
        <v/>
      </c>
      <c r="F256" s="12" t="str">
        <f aca="false">IF('Checkout Log'!L227&lt;&gt;"Checked Out","",'Checkout Log'!I227)</f>
        <v/>
      </c>
    </row>
    <row r="257" customFormat="false" ht="15" hidden="false" customHeight="false" outlineLevel="0" collapsed="false">
      <c r="A257" s="13" t="str">
        <f aca="false">IF('Checkout Log'!$L228&lt;&gt;"Checked Out","",'Checkout Log'!$A228)</f>
        <v/>
      </c>
      <c r="B257" s="13" t="str">
        <f aca="false">IF('Checkout Log'!L228&lt;&gt;"Checked Out","",'Checkout Log'!C228)</f>
        <v/>
      </c>
      <c r="C257" s="13" t="str">
        <f aca="false">IF('Checkout Log'!L228&lt;&gt;"Checked Out","",'Checkout Log'!D228)</f>
        <v/>
      </c>
      <c r="D257" s="13" t="str">
        <f aca="false">IF('Checkout Log'!L228&lt;&gt;"Checked Out","",'Checkout Log'!E228)</f>
        <v/>
      </c>
      <c r="E257" s="14" t="str">
        <f aca="false">IF('Checkout Log'!L228&lt;&gt;"Checked Out","",'Checkout Log'!H228)</f>
        <v/>
      </c>
      <c r="F257" s="14" t="str">
        <f aca="false">IF('Checkout Log'!L228&lt;&gt;"Checked Out","",'Checkout Log'!I228)</f>
        <v/>
      </c>
    </row>
    <row r="258" customFormat="false" ht="15" hidden="false" customHeight="false" outlineLevel="0" collapsed="false">
      <c r="A258" s="11" t="str">
        <f aca="false">IF('Checkout Log'!$L229&lt;&gt;"Checked Out","",'Checkout Log'!$A229)</f>
        <v/>
      </c>
      <c r="B258" s="11" t="str">
        <f aca="false">IF('Checkout Log'!L229&lt;&gt;"Checked Out","",'Checkout Log'!C229)</f>
        <v/>
      </c>
      <c r="C258" s="11" t="str">
        <f aca="false">IF('Checkout Log'!L229&lt;&gt;"Checked Out","",'Checkout Log'!D229)</f>
        <v/>
      </c>
      <c r="D258" s="11" t="str">
        <f aca="false">IF('Checkout Log'!L229&lt;&gt;"Checked Out","",'Checkout Log'!E229)</f>
        <v/>
      </c>
      <c r="E258" s="12" t="str">
        <f aca="false">IF('Checkout Log'!L229&lt;&gt;"Checked Out","",'Checkout Log'!H229)</f>
        <v/>
      </c>
      <c r="F258" s="12" t="str">
        <f aca="false">IF('Checkout Log'!L229&lt;&gt;"Checked Out","",'Checkout Log'!I229)</f>
        <v/>
      </c>
    </row>
    <row r="259" customFormat="false" ht="15" hidden="false" customHeight="false" outlineLevel="0" collapsed="false">
      <c r="A259" s="13" t="str">
        <f aca="false">IF('Checkout Log'!$L230&lt;&gt;"Checked Out","",'Checkout Log'!$A230)</f>
        <v/>
      </c>
      <c r="B259" s="13" t="str">
        <f aca="false">IF('Checkout Log'!L230&lt;&gt;"Checked Out","",'Checkout Log'!C230)</f>
        <v/>
      </c>
      <c r="C259" s="13" t="str">
        <f aca="false">IF('Checkout Log'!L230&lt;&gt;"Checked Out","",'Checkout Log'!D230)</f>
        <v/>
      </c>
      <c r="D259" s="13" t="str">
        <f aca="false">IF('Checkout Log'!L230&lt;&gt;"Checked Out","",'Checkout Log'!E230)</f>
        <v/>
      </c>
      <c r="E259" s="14" t="str">
        <f aca="false">IF('Checkout Log'!L230&lt;&gt;"Checked Out","",'Checkout Log'!H230)</f>
        <v/>
      </c>
      <c r="F259" s="14" t="str">
        <f aca="false">IF('Checkout Log'!L230&lt;&gt;"Checked Out","",'Checkout Log'!I230)</f>
        <v/>
      </c>
    </row>
    <row r="260" customFormat="false" ht="15" hidden="false" customHeight="false" outlineLevel="0" collapsed="false">
      <c r="A260" s="11" t="str">
        <f aca="false">IF('Checkout Log'!$L231&lt;&gt;"Checked Out","",'Checkout Log'!$A231)</f>
        <v/>
      </c>
      <c r="B260" s="11" t="str">
        <f aca="false">IF('Checkout Log'!L231&lt;&gt;"Checked Out","",'Checkout Log'!C231)</f>
        <v/>
      </c>
      <c r="C260" s="11" t="str">
        <f aca="false">IF('Checkout Log'!L231&lt;&gt;"Checked Out","",'Checkout Log'!D231)</f>
        <v/>
      </c>
      <c r="D260" s="11" t="str">
        <f aca="false">IF('Checkout Log'!L231&lt;&gt;"Checked Out","",'Checkout Log'!E231)</f>
        <v/>
      </c>
      <c r="E260" s="12" t="str">
        <f aca="false">IF('Checkout Log'!L231&lt;&gt;"Checked Out","",'Checkout Log'!H231)</f>
        <v/>
      </c>
      <c r="F260" s="12" t="str">
        <f aca="false">IF('Checkout Log'!L231&lt;&gt;"Checked Out","",'Checkout Log'!I231)</f>
        <v/>
      </c>
    </row>
    <row r="261" customFormat="false" ht="15" hidden="false" customHeight="false" outlineLevel="0" collapsed="false">
      <c r="A261" s="13" t="str">
        <f aca="false">IF('Checkout Log'!$L232&lt;&gt;"Checked Out","",'Checkout Log'!$A232)</f>
        <v/>
      </c>
      <c r="B261" s="13" t="str">
        <f aca="false">IF('Checkout Log'!L232&lt;&gt;"Checked Out","",'Checkout Log'!C232)</f>
        <v/>
      </c>
      <c r="C261" s="13" t="str">
        <f aca="false">IF('Checkout Log'!L232&lt;&gt;"Checked Out","",'Checkout Log'!D232)</f>
        <v/>
      </c>
      <c r="D261" s="13" t="str">
        <f aca="false">IF('Checkout Log'!L232&lt;&gt;"Checked Out","",'Checkout Log'!E232)</f>
        <v/>
      </c>
      <c r="E261" s="14" t="str">
        <f aca="false">IF('Checkout Log'!L232&lt;&gt;"Checked Out","",'Checkout Log'!H232)</f>
        <v/>
      </c>
      <c r="F261" s="14" t="str">
        <f aca="false">IF('Checkout Log'!L232&lt;&gt;"Checked Out","",'Checkout Log'!I232)</f>
        <v/>
      </c>
    </row>
    <row r="262" customFormat="false" ht="15" hidden="false" customHeight="false" outlineLevel="0" collapsed="false">
      <c r="A262" s="11" t="str">
        <f aca="false">IF('Checkout Log'!$L233&lt;&gt;"Checked Out","",'Checkout Log'!$A233)</f>
        <v/>
      </c>
      <c r="B262" s="11" t="str">
        <f aca="false">IF('Checkout Log'!L233&lt;&gt;"Checked Out","",'Checkout Log'!C233)</f>
        <v/>
      </c>
      <c r="C262" s="11" t="str">
        <f aca="false">IF('Checkout Log'!L233&lt;&gt;"Checked Out","",'Checkout Log'!D233)</f>
        <v/>
      </c>
      <c r="D262" s="11" t="str">
        <f aca="false">IF('Checkout Log'!L233&lt;&gt;"Checked Out","",'Checkout Log'!E233)</f>
        <v/>
      </c>
      <c r="E262" s="12" t="str">
        <f aca="false">IF('Checkout Log'!L233&lt;&gt;"Checked Out","",'Checkout Log'!H233)</f>
        <v/>
      </c>
      <c r="F262" s="12" t="str">
        <f aca="false">IF('Checkout Log'!L233&lt;&gt;"Checked Out","",'Checkout Log'!I233)</f>
        <v/>
      </c>
    </row>
    <row r="263" customFormat="false" ht="15" hidden="false" customHeight="false" outlineLevel="0" collapsed="false">
      <c r="A263" s="13" t="str">
        <f aca="false">IF('Checkout Log'!$L234&lt;&gt;"Checked Out","",'Checkout Log'!$A234)</f>
        <v/>
      </c>
      <c r="B263" s="13" t="str">
        <f aca="false">IF('Checkout Log'!L234&lt;&gt;"Checked Out","",'Checkout Log'!C234)</f>
        <v/>
      </c>
      <c r="C263" s="13" t="str">
        <f aca="false">IF('Checkout Log'!L234&lt;&gt;"Checked Out","",'Checkout Log'!D234)</f>
        <v/>
      </c>
      <c r="D263" s="13" t="str">
        <f aca="false">IF('Checkout Log'!L234&lt;&gt;"Checked Out","",'Checkout Log'!E234)</f>
        <v/>
      </c>
      <c r="E263" s="14" t="str">
        <f aca="false">IF('Checkout Log'!L234&lt;&gt;"Checked Out","",'Checkout Log'!H234)</f>
        <v/>
      </c>
      <c r="F263" s="14" t="str">
        <f aca="false">IF('Checkout Log'!L234&lt;&gt;"Checked Out","",'Checkout Log'!I234)</f>
        <v/>
      </c>
    </row>
    <row r="264" customFormat="false" ht="15" hidden="false" customHeight="false" outlineLevel="0" collapsed="false">
      <c r="A264" s="11" t="str">
        <f aca="false">IF('Checkout Log'!$L235&lt;&gt;"Checked Out","",'Checkout Log'!$A235)</f>
        <v/>
      </c>
      <c r="B264" s="11" t="str">
        <f aca="false">IF('Checkout Log'!L235&lt;&gt;"Checked Out","",'Checkout Log'!C235)</f>
        <v/>
      </c>
      <c r="C264" s="11" t="str">
        <f aca="false">IF('Checkout Log'!L235&lt;&gt;"Checked Out","",'Checkout Log'!D235)</f>
        <v/>
      </c>
      <c r="D264" s="11" t="str">
        <f aca="false">IF('Checkout Log'!L235&lt;&gt;"Checked Out","",'Checkout Log'!E235)</f>
        <v/>
      </c>
      <c r="E264" s="12" t="str">
        <f aca="false">IF('Checkout Log'!L235&lt;&gt;"Checked Out","",'Checkout Log'!H235)</f>
        <v/>
      </c>
      <c r="F264" s="12" t="str">
        <f aca="false">IF('Checkout Log'!L235&lt;&gt;"Checked Out","",'Checkout Log'!I235)</f>
        <v/>
      </c>
    </row>
    <row r="265" customFormat="false" ht="15" hidden="false" customHeight="false" outlineLevel="0" collapsed="false">
      <c r="A265" s="13" t="str">
        <f aca="false">IF('Checkout Log'!$L236&lt;&gt;"Checked Out","",'Checkout Log'!$A236)</f>
        <v/>
      </c>
      <c r="B265" s="13" t="str">
        <f aca="false">IF('Checkout Log'!L236&lt;&gt;"Checked Out","",'Checkout Log'!C236)</f>
        <v/>
      </c>
      <c r="C265" s="13" t="str">
        <f aca="false">IF('Checkout Log'!L236&lt;&gt;"Checked Out","",'Checkout Log'!D236)</f>
        <v/>
      </c>
      <c r="D265" s="13" t="str">
        <f aca="false">IF('Checkout Log'!L236&lt;&gt;"Checked Out","",'Checkout Log'!E236)</f>
        <v/>
      </c>
      <c r="E265" s="14" t="str">
        <f aca="false">IF('Checkout Log'!L236&lt;&gt;"Checked Out","",'Checkout Log'!H236)</f>
        <v/>
      </c>
      <c r="F265" s="14" t="str">
        <f aca="false">IF('Checkout Log'!L236&lt;&gt;"Checked Out","",'Checkout Log'!I236)</f>
        <v/>
      </c>
    </row>
    <row r="266" customFormat="false" ht="15" hidden="false" customHeight="false" outlineLevel="0" collapsed="false">
      <c r="A266" s="11" t="str">
        <f aca="false">IF('Checkout Log'!$L237&lt;&gt;"Checked Out","",'Checkout Log'!$A237)</f>
        <v/>
      </c>
      <c r="B266" s="11" t="str">
        <f aca="false">IF('Checkout Log'!L237&lt;&gt;"Checked Out","",'Checkout Log'!C237)</f>
        <v/>
      </c>
      <c r="C266" s="11" t="str">
        <f aca="false">IF('Checkout Log'!L237&lt;&gt;"Checked Out","",'Checkout Log'!D237)</f>
        <v/>
      </c>
      <c r="D266" s="11" t="str">
        <f aca="false">IF('Checkout Log'!L237&lt;&gt;"Checked Out","",'Checkout Log'!E237)</f>
        <v/>
      </c>
      <c r="E266" s="12" t="str">
        <f aca="false">IF('Checkout Log'!L237&lt;&gt;"Checked Out","",'Checkout Log'!H237)</f>
        <v/>
      </c>
      <c r="F266" s="12" t="str">
        <f aca="false">IF('Checkout Log'!L237&lt;&gt;"Checked Out","",'Checkout Log'!I237)</f>
        <v/>
      </c>
    </row>
    <row r="267" customFormat="false" ht="15" hidden="false" customHeight="false" outlineLevel="0" collapsed="false">
      <c r="A267" s="13" t="str">
        <f aca="false">IF('Checkout Log'!$L238&lt;&gt;"Checked Out","",'Checkout Log'!$A238)</f>
        <v/>
      </c>
      <c r="B267" s="13" t="str">
        <f aca="false">IF('Checkout Log'!L238&lt;&gt;"Checked Out","",'Checkout Log'!C238)</f>
        <v/>
      </c>
      <c r="C267" s="13" t="str">
        <f aca="false">IF('Checkout Log'!L238&lt;&gt;"Checked Out","",'Checkout Log'!D238)</f>
        <v/>
      </c>
      <c r="D267" s="13" t="str">
        <f aca="false">IF('Checkout Log'!L238&lt;&gt;"Checked Out","",'Checkout Log'!E238)</f>
        <v/>
      </c>
      <c r="E267" s="14" t="str">
        <f aca="false">IF('Checkout Log'!L238&lt;&gt;"Checked Out","",'Checkout Log'!H238)</f>
        <v/>
      </c>
      <c r="F267" s="14" t="str">
        <f aca="false">IF('Checkout Log'!L238&lt;&gt;"Checked Out","",'Checkout Log'!I238)</f>
        <v/>
      </c>
    </row>
    <row r="268" customFormat="false" ht="15" hidden="false" customHeight="false" outlineLevel="0" collapsed="false">
      <c r="A268" s="11" t="str">
        <f aca="false">IF('Checkout Log'!$L239&lt;&gt;"Checked Out","",'Checkout Log'!$A239)</f>
        <v/>
      </c>
      <c r="B268" s="11" t="str">
        <f aca="false">IF('Checkout Log'!L239&lt;&gt;"Checked Out","",'Checkout Log'!C239)</f>
        <v/>
      </c>
      <c r="C268" s="11" t="str">
        <f aca="false">IF('Checkout Log'!L239&lt;&gt;"Checked Out","",'Checkout Log'!D239)</f>
        <v/>
      </c>
      <c r="D268" s="11" t="str">
        <f aca="false">IF('Checkout Log'!L239&lt;&gt;"Checked Out","",'Checkout Log'!E239)</f>
        <v/>
      </c>
      <c r="E268" s="12" t="str">
        <f aca="false">IF('Checkout Log'!L239&lt;&gt;"Checked Out","",'Checkout Log'!H239)</f>
        <v/>
      </c>
      <c r="F268" s="12" t="str">
        <f aca="false">IF('Checkout Log'!L239&lt;&gt;"Checked Out","",'Checkout Log'!I239)</f>
        <v/>
      </c>
    </row>
    <row r="269" customFormat="false" ht="15" hidden="false" customHeight="false" outlineLevel="0" collapsed="false">
      <c r="A269" s="13" t="str">
        <f aca="false">IF('Checkout Log'!$L240&lt;&gt;"Checked Out","",'Checkout Log'!$A240)</f>
        <v/>
      </c>
      <c r="B269" s="13" t="str">
        <f aca="false">IF('Checkout Log'!L240&lt;&gt;"Checked Out","",'Checkout Log'!C240)</f>
        <v/>
      </c>
      <c r="C269" s="13" t="str">
        <f aca="false">IF('Checkout Log'!L240&lt;&gt;"Checked Out","",'Checkout Log'!D240)</f>
        <v/>
      </c>
      <c r="D269" s="13" t="str">
        <f aca="false">IF('Checkout Log'!L240&lt;&gt;"Checked Out","",'Checkout Log'!E240)</f>
        <v/>
      </c>
      <c r="E269" s="14" t="str">
        <f aca="false">IF('Checkout Log'!L240&lt;&gt;"Checked Out","",'Checkout Log'!H240)</f>
        <v/>
      </c>
      <c r="F269" s="14" t="str">
        <f aca="false">IF('Checkout Log'!L240&lt;&gt;"Checked Out","",'Checkout Log'!I240)</f>
        <v/>
      </c>
    </row>
    <row r="270" customFormat="false" ht="15" hidden="false" customHeight="false" outlineLevel="0" collapsed="false">
      <c r="A270" s="11" t="str">
        <f aca="false">IF('Checkout Log'!$L241&lt;&gt;"Checked Out","",'Checkout Log'!$A241)</f>
        <v/>
      </c>
      <c r="B270" s="11" t="str">
        <f aca="false">IF('Checkout Log'!L241&lt;&gt;"Checked Out","",'Checkout Log'!C241)</f>
        <v/>
      </c>
      <c r="C270" s="11" t="str">
        <f aca="false">IF('Checkout Log'!L241&lt;&gt;"Checked Out","",'Checkout Log'!D241)</f>
        <v/>
      </c>
      <c r="D270" s="11" t="str">
        <f aca="false">IF('Checkout Log'!L241&lt;&gt;"Checked Out","",'Checkout Log'!E241)</f>
        <v/>
      </c>
      <c r="E270" s="12" t="str">
        <f aca="false">IF('Checkout Log'!L241&lt;&gt;"Checked Out","",'Checkout Log'!H241)</f>
        <v/>
      </c>
      <c r="F270" s="12" t="str">
        <f aca="false">IF('Checkout Log'!L241&lt;&gt;"Checked Out","",'Checkout Log'!I241)</f>
        <v/>
      </c>
    </row>
    <row r="271" customFormat="false" ht="15" hidden="false" customHeight="false" outlineLevel="0" collapsed="false">
      <c r="A271" s="13" t="str">
        <f aca="false">IF('Checkout Log'!$L242&lt;&gt;"Checked Out","",'Checkout Log'!$A242)</f>
        <v/>
      </c>
      <c r="B271" s="13" t="str">
        <f aca="false">IF('Checkout Log'!L242&lt;&gt;"Checked Out","",'Checkout Log'!C242)</f>
        <v/>
      </c>
      <c r="C271" s="13" t="str">
        <f aca="false">IF('Checkout Log'!L242&lt;&gt;"Checked Out","",'Checkout Log'!D242)</f>
        <v/>
      </c>
      <c r="D271" s="13" t="str">
        <f aca="false">IF('Checkout Log'!L242&lt;&gt;"Checked Out","",'Checkout Log'!E242)</f>
        <v/>
      </c>
      <c r="E271" s="14" t="str">
        <f aca="false">IF('Checkout Log'!L242&lt;&gt;"Checked Out","",'Checkout Log'!H242)</f>
        <v/>
      </c>
      <c r="F271" s="14" t="str">
        <f aca="false">IF('Checkout Log'!L242&lt;&gt;"Checked Out","",'Checkout Log'!I242)</f>
        <v/>
      </c>
    </row>
    <row r="272" customFormat="false" ht="15" hidden="false" customHeight="false" outlineLevel="0" collapsed="false">
      <c r="A272" s="11" t="str">
        <f aca="false">IF('Checkout Log'!$L243&lt;&gt;"Checked Out","",'Checkout Log'!$A243)</f>
        <v/>
      </c>
      <c r="B272" s="11" t="str">
        <f aca="false">IF('Checkout Log'!L243&lt;&gt;"Checked Out","",'Checkout Log'!C243)</f>
        <v/>
      </c>
      <c r="C272" s="11" t="str">
        <f aca="false">IF('Checkout Log'!L243&lt;&gt;"Checked Out","",'Checkout Log'!D243)</f>
        <v/>
      </c>
      <c r="D272" s="11" t="str">
        <f aca="false">IF('Checkout Log'!L243&lt;&gt;"Checked Out","",'Checkout Log'!E243)</f>
        <v/>
      </c>
      <c r="E272" s="12" t="str">
        <f aca="false">IF('Checkout Log'!L243&lt;&gt;"Checked Out","",'Checkout Log'!H243)</f>
        <v/>
      </c>
      <c r="F272" s="12" t="str">
        <f aca="false">IF('Checkout Log'!L243&lt;&gt;"Checked Out","",'Checkout Log'!I243)</f>
        <v/>
      </c>
    </row>
    <row r="273" customFormat="false" ht="15" hidden="false" customHeight="false" outlineLevel="0" collapsed="false">
      <c r="A273" s="13" t="str">
        <f aca="false">IF('Checkout Log'!$L244&lt;&gt;"Checked Out","",'Checkout Log'!$A244)</f>
        <v/>
      </c>
      <c r="B273" s="13" t="str">
        <f aca="false">IF('Checkout Log'!L244&lt;&gt;"Checked Out","",'Checkout Log'!C244)</f>
        <v/>
      </c>
      <c r="C273" s="13" t="str">
        <f aca="false">IF('Checkout Log'!L244&lt;&gt;"Checked Out","",'Checkout Log'!D244)</f>
        <v/>
      </c>
      <c r="D273" s="13" t="str">
        <f aca="false">IF('Checkout Log'!L244&lt;&gt;"Checked Out","",'Checkout Log'!E244)</f>
        <v/>
      </c>
      <c r="E273" s="14" t="str">
        <f aca="false">IF('Checkout Log'!L244&lt;&gt;"Checked Out","",'Checkout Log'!H244)</f>
        <v/>
      </c>
      <c r="F273" s="14" t="str">
        <f aca="false">IF('Checkout Log'!L244&lt;&gt;"Checked Out","",'Checkout Log'!I244)</f>
        <v/>
      </c>
    </row>
    <row r="274" customFormat="false" ht="15" hidden="false" customHeight="false" outlineLevel="0" collapsed="false">
      <c r="A274" s="11" t="str">
        <f aca="false">IF('Checkout Log'!$L245&lt;&gt;"Checked Out","",'Checkout Log'!$A245)</f>
        <v/>
      </c>
      <c r="B274" s="11" t="str">
        <f aca="false">IF('Checkout Log'!L245&lt;&gt;"Checked Out","",'Checkout Log'!C245)</f>
        <v/>
      </c>
      <c r="C274" s="11" t="str">
        <f aca="false">IF('Checkout Log'!L245&lt;&gt;"Checked Out","",'Checkout Log'!D245)</f>
        <v/>
      </c>
      <c r="D274" s="11" t="str">
        <f aca="false">IF('Checkout Log'!L245&lt;&gt;"Checked Out","",'Checkout Log'!E245)</f>
        <v/>
      </c>
      <c r="E274" s="12" t="str">
        <f aca="false">IF('Checkout Log'!L245&lt;&gt;"Checked Out","",'Checkout Log'!H245)</f>
        <v/>
      </c>
      <c r="F274" s="12" t="str">
        <f aca="false">IF('Checkout Log'!L245&lt;&gt;"Checked Out","",'Checkout Log'!I245)</f>
        <v/>
      </c>
    </row>
    <row r="275" customFormat="false" ht="15" hidden="false" customHeight="false" outlineLevel="0" collapsed="false">
      <c r="A275" s="13" t="str">
        <f aca="false">IF('Checkout Log'!$L246&lt;&gt;"Checked Out","",'Checkout Log'!$A246)</f>
        <v/>
      </c>
      <c r="B275" s="13" t="str">
        <f aca="false">IF('Checkout Log'!L246&lt;&gt;"Checked Out","",'Checkout Log'!C246)</f>
        <v/>
      </c>
      <c r="C275" s="13" t="str">
        <f aca="false">IF('Checkout Log'!L246&lt;&gt;"Checked Out","",'Checkout Log'!D246)</f>
        <v/>
      </c>
      <c r="D275" s="13" t="str">
        <f aca="false">IF('Checkout Log'!L246&lt;&gt;"Checked Out","",'Checkout Log'!E246)</f>
        <v/>
      </c>
      <c r="E275" s="14" t="str">
        <f aca="false">IF('Checkout Log'!L246&lt;&gt;"Checked Out","",'Checkout Log'!H246)</f>
        <v/>
      </c>
      <c r="F275" s="14" t="str">
        <f aca="false">IF('Checkout Log'!L246&lt;&gt;"Checked Out","",'Checkout Log'!I246)</f>
        <v/>
      </c>
    </row>
    <row r="276" customFormat="false" ht="15" hidden="false" customHeight="false" outlineLevel="0" collapsed="false">
      <c r="A276" s="11" t="str">
        <f aca="false">IF('Checkout Log'!$L247&lt;&gt;"Checked Out","",'Checkout Log'!$A247)</f>
        <v/>
      </c>
      <c r="B276" s="11" t="str">
        <f aca="false">IF('Checkout Log'!L247&lt;&gt;"Checked Out","",'Checkout Log'!C247)</f>
        <v/>
      </c>
      <c r="C276" s="11" t="str">
        <f aca="false">IF('Checkout Log'!L247&lt;&gt;"Checked Out","",'Checkout Log'!D247)</f>
        <v/>
      </c>
      <c r="D276" s="11" t="str">
        <f aca="false">IF('Checkout Log'!L247&lt;&gt;"Checked Out","",'Checkout Log'!E247)</f>
        <v/>
      </c>
      <c r="E276" s="12" t="str">
        <f aca="false">IF('Checkout Log'!L247&lt;&gt;"Checked Out","",'Checkout Log'!H247)</f>
        <v/>
      </c>
      <c r="F276" s="12" t="str">
        <f aca="false">IF('Checkout Log'!L247&lt;&gt;"Checked Out","",'Checkout Log'!I247)</f>
        <v/>
      </c>
    </row>
    <row r="277" customFormat="false" ht="15" hidden="false" customHeight="false" outlineLevel="0" collapsed="false">
      <c r="A277" s="13" t="str">
        <f aca="false">IF('Checkout Log'!$L248&lt;&gt;"Checked Out","",'Checkout Log'!$A248)</f>
        <v/>
      </c>
      <c r="B277" s="13" t="str">
        <f aca="false">IF('Checkout Log'!L248&lt;&gt;"Checked Out","",'Checkout Log'!C248)</f>
        <v/>
      </c>
      <c r="C277" s="13" t="str">
        <f aca="false">IF('Checkout Log'!L248&lt;&gt;"Checked Out","",'Checkout Log'!D248)</f>
        <v/>
      </c>
      <c r="D277" s="13" t="str">
        <f aca="false">IF('Checkout Log'!L248&lt;&gt;"Checked Out","",'Checkout Log'!E248)</f>
        <v/>
      </c>
      <c r="E277" s="14" t="str">
        <f aca="false">IF('Checkout Log'!L248&lt;&gt;"Checked Out","",'Checkout Log'!H248)</f>
        <v/>
      </c>
      <c r="F277" s="14" t="str">
        <f aca="false">IF('Checkout Log'!L248&lt;&gt;"Checked Out","",'Checkout Log'!I248)</f>
        <v/>
      </c>
    </row>
    <row r="278" customFormat="false" ht="15" hidden="false" customHeight="false" outlineLevel="0" collapsed="false">
      <c r="A278" s="11" t="str">
        <f aca="false">IF('Checkout Log'!$L249&lt;&gt;"Checked Out","",'Checkout Log'!$A249)</f>
        <v/>
      </c>
      <c r="B278" s="11" t="str">
        <f aca="false">IF('Checkout Log'!L249&lt;&gt;"Checked Out","",'Checkout Log'!C249)</f>
        <v/>
      </c>
      <c r="C278" s="11" t="str">
        <f aca="false">IF('Checkout Log'!L249&lt;&gt;"Checked Out","",'Checkout Log'!D249)</f>
        <v/>
      </c>
      <c r="D278" s="11" t="str">
        <f aca="false">IF('Checkout Log'!L249&lt;&gt;"Checked Out","",'Checkout Log'!E249)</f>
        <v/>
      </c>
      <c r="E278" s="12" t="str">
        <f aca="false">IF('Checkout Log'!L249&lt;&gt;"Checked Out","",'Checkout Log'!H249)</f>
        <v/>
      </c>
      <c r="F278" s="12" t="str">
        <f aca="false">IF('Checkout Log'!L249&lt;&gt;"Checked Out","",'Checkout Log'!I249)</f>
        <v/>
      </c>
    </row>
    <row r="279" customFormat="false" ht="15" hidden="false" customHeight="false" outlineLevel="0" collapsed="false">
      <c r="A279" s="13" t="str">
        <f aca="false">IF('Checkout Log'!$L250&lt;&gt;"Checked Out","",'Checkout Log'!$A250)</f>
        <v/>
      </c>
      <c r="B279" s="13" t="str">
        <f aca="false">IF('Checkout Log'!L250&lt;&gt;"Checked Out","",'Checkout Log'!C250)</f>
        <v/>
      </c>
      <c r="C279" s="13" t="str">
        <f aca="false">IF('Checkout Log'!L250&lt;&gt;"Checked Out","",'Checkout Log'!D250)</f>
        <v/>
      </c>
      <c r="D279" s="13" t="str">
        <f aca="false">IF('Checkout Log'!L250&lt;&gt;"Checked Out","",'Checkout Log'!E250)</f>
        <v/>
      </c>
      <c r="E279" s="14" t="str">
        <f aca="false">IF('Checkout Log'!L250&lt;&gt;"Checked Out","",'Checkout Log'!H250)</f>
        <v/>
      </c>
      <c r="F279" s="14" t="str">
        <f aca="false">IF('Checkout Log'!L250&lt;&gt;"Checked Out","",'Checkout Log'!I250)</f>
        <v/>
      </c>
    </row>
    <row r="280" customFormat="false" ht="15" hidden="false" customHeight="false" outlineLevel="0" collapsed="false">
      <c r="A280" s="11" t="str">
        <f aca="false">IF('Checkout Log'!$L251&lt;&gt;"Checked Out","",'Checkout Log'!$A251)</f>
        <v/>
      </c>
      <c r="B280" s="11" t="str">
        <f aca="false">IF('Checkout Log'!L251&lt;&gt;"Checked Out","",'Checkout Log'!C251)</f>
        <v/>
      </c>
      <c r="C280" s="11" t="str">
        <f aca="false">IF('Checkout Log'!L251&lt;&gt;"Checked Out","",'Checkout Log'!D251)</f>
        <v/>
      </c>
      <c r="D280" s="11" t="str">
        <f aca="false">IF('Checkout Log'!L251&lt;&gt;"Checked Out","",'Checkout Log'!E251)</f>
        <v/>
      </c>
      <c r="E280" s="12" t="str">
        <f aca="false">IF('Checkout Log'!L251&lt;&gt;"Checked Out","",'Checkout Log'!H251)</f>
        <v/>
      </c>
      <c r="F280" s="12" t="str">
        <f aca="false">IF('Checkout Log'!L251&lt;&gt;"Checked Out","",'Checkout Log'!I251)</f>
        <v/>
      </c>
    </row>
    <row r="281" customFormat="false" ht="15" hidden="false" customHeight="false" outlineLevel="0" collapsed="false">
      <c r="A281" s="13" t="str">
        <f aca="false">IF('Checkout Log'!$L252&lt;&gt;"Checked Out","",'Checkout Log'!$A252)</f>
        <v/>
      </c>
      <c r="B281" s="13" t="str">
        <f aca="false">IF('Checkout Log'!L252&lt;&gt;"Checked Out","",'Checkout Log'!C252)</f>
        <v/>
      </c>
      <c r="C281" s="13" t="str">
        <f aca="false">IF('Checkout Log'!L252&lt;&gt;"Checked Out","",'Checkout Log'!D252)</f>
        <v/>
      </c>
      <c r="D281" s="13" t="str">
        <f aca="false">IF('Checkout Log'!L252&lt;&gt;"Checked Out","",'Checkout Log'!E252)</f>
        <v/>
      </c>
      <c r="E281" s="14" t="str">
        <f aca="false">IF('Checkout Log'!L252&lt;&gt;"Checked Out","",'Checkout Log'!H252)</f>
        <v/>
      </c>
      <c r="F281" s="14" t="str">
        <f aca="false">IF('Checkout Log'!L252&lt;&gt;"Checked Out","",'Checkout Log'!I252)</f>
        <v/>
      </c>
    </row>
    <row r="282" customFormat="false" ht="15" hidden="false" customHeight="false" outlineLevel="0" collapsed="false">
      <c r="A282" s="11" t="str">
        <f aca="false">IF('Checkout Log'!$L253&lt;&gt;"Checked Out","",'Checkout Log'!$A253)</f>
        <v/>
      </c>
      <c r="B282" s="11" t="str">
        <f aca="false">IF('Checkout Log'!L253&lt;&gt;"Checked Out","",'Checkout Log'!C253)</f>
        <v/>
      </c>
      <c r="C282" s="11" t="str">
        <f aca="false">IF('Checkout Log'!L253&lt;&gt;"Checked Out","",'Checkout Log'!D253)</f>
        <v/>
      </c>
      <c r="D282" s="11" t="str">
        <f aca="false">IF('Checkout Log'!L253&lt;&gt;"Checked Out","",'Checkout Log'!E253)</f>
        <v/>
      </c>
      <c r="E282" s="12" t="str">
        <f aca="false">IF('Checkout Log'!L253&lt;&gt;"Checked Out","",'Checkout Log'!H253)</f>
        <v/>
      </c>
      <c r="F282" s="12" t="str">
        <f aca="false">IF('Checkout Log'!L253&lt;&gt;"Checked Out","",'Checkout Log'!I253)</f>
        <v/>
      </c>
    </row>
    <row r="283" customFormat="false" ht="15" hidden="false" customHeight="false" outlineLevel="0" collapsed="false">
      <c r="A283" s="13" t="str">
        <f aca="false">IF('Checkout Log'!$L254&lt;&gt;"Checked Out","",'Checkout Log'!$A254)</f>
        <v/>
      </c>
      <c r="B283" s="13" t="str">
        <f aca="false">IF('Checkout Log'!L254&lt;&gt;"Checked Out","",'Checkout Log'!C254)</f>
        <v/>
      </c>
      <c r="C283" s="13" t="str">
        <f aca="false">IF('Checkout Log'!L254&lt;&gt;"Checked Out","",'Checkout Log'!D254)</f>
        <v/>
      </c>
      <c r="D283" s="13" t="str">
        <f aca="false">IF('Checkout Log'!L254&lt;&gt;"Checked Out","",'Checkout Log'!E254)</f>
        <v/>
      </c>
      <c r="E283" s="14" t="str">
        <f aca="false">IF('Checkout Log'!L254&lt;&gt;"Checked Out","",'Checkout Log'!H254)</f>
        <v/>
      </c>
      <c r="F283" s="14" t="str">
        <f aca="false">IF('Checkout Log'!L254&lt;&gt;"Checked Out","",'Checkout Log'!I254)</f>
        <v/>
      </c>
    </row>
    <row r="284" customFormat="false" ht="15" hidden="false" customHeight="false" outlineLevel="0" collapsed="false">
      <c r="A284" s="11" t="str">
        <f aca="false">IF('Checkout Log'!$L255&lt;&gt;"Checked Out","",'Checkout Log'!$A255)</f>
        <v/>
      </c>
      <c r="B284" s="11" t="str">
        <f aca="false">IF('Checkout Log'!L255&lt;&gt;"Checked Out","",'Checkout Log'!C255)</f>
        <v/>
      </c>
      <c r="C284" s="11" t="str">
        <f aca="false">IF('Checkout Log'!L255&lt;&gt;"Checked Out","",'Checkout Log'!D255)</f>
        <v/>
      </c>
      <c r="D284" s="11" t="str">
        <f aca="false">IF('Checkout Log'!L255&lt;&gt;"Checked Out","",'Checkout Log'!E255)</f>
        <v/>
      </c>
      <c r="E284" s="12" t="str">
        <f aca="false">IF('Checkout Log'!L255&lt;&gt;"Checked Out","",'Checkout Log'!H255)</f>
        <v/>
      </c>
      <c r="F284" s="12" t="str">
        <f aca="false">IF('Checkout Log'!L255&lt;&gt;"Checked Out","",'Checkout Log'!I255)</f>
        <v/>
      </c>
    </row>
    <row r="285" customFormat="false" ht="15" hidden="false" customHeight="false" outlineLevel="0" collapsed="false">
      <c r="A285" s="13" t="str">
        <f aca="false">IF('Checkout Log'!$L256&lt;&gt;"Checked Out","",'Checkout Log'!$A256)</f>
        <v/>
      </c>
      <c r="B285" s="13" t="str">
        <f aca="false">IF('Checkout Log'!L256&lt;&gt;"Checked Out","",'Checkout Log'!C256)</f>
        <v/>
      </c>
      <c r="C285" s="13" t="str">
        <f aca="false">IF('Checkout Log'!L256&lt;&gt;"Checked Out","",'Checkout Log'!D256)</f>
        <v/>
      </c>
      <c r="D285" s="13" t="str">
        <f aca="false">IF('Checkout Log'!L256&lt;&gt;"Checked Out","",'Checkout Log'!E256)</f>
        <v/>
      </c>
      <c r="E285" s="14" t="str">
        <f aca="false">IF('Checkout Log'!L256&lt;&gt;"Checked Out","",'Checkout Log'!H256)</f>
        <v/>
      </c>
      <c r="F285" s="14" t="str">
        <f aca="false">IF('Checkout Log'!L256&lt;&gt;"Checked Out","",'Checkout Log'!I256)</f>
        <v/>
      </c>
    </row>
    <row r="286" customFormat="false" ht="15" hidden="false" customHeight="false" outlineLevel="0" collapsed="false">
      <c r="A286" s="11" t="str">
        <f aca="false">IF('Checkout Log'!$L257&lt;&gt;"Checked Out","",'Checkout Log'!$A257)</f>
        <v/>
      </c>
      <c r="B286" s="11" t="str">
        <f aca="false">IF('Checkout Log'!L257&lt;&gt;"Checked Out","",'Checkout Log'!C257)</f>
        <v/>
      </c>
      <c r="C286" s="11" t="str">
        <f aca="false">IF('Checkout Log'!L257&lt;&gt;"Checked Out","",'Checkout Log'!D257)</f>
        <v/>
      </c>
      <c r="D286" s="11" t="str">
        <f aca="false">IF('Checkout Log'!L257&lt;&gt;"Checked Out","",'Checkout Log'!E257)</f>
        <v/>
      </c>
      <c r="E286" s="12" t="str">
        <f aca="false">IF('Checkout Log'!L257&lt;&gt;"Checked Out","",'Checkout Log'!H257)</f>
        <v/>
      </c>
      <c r="F286" s="12" t="str">
        <f aca="false">IF('Checkout Log'!L257&lt;&gt;"Checked Out","",'Checkout Log'!I257)</f>
        <v/>
      </c>
    </row>
    <row r="287" customFormat="false" ht="15" hidden="false" customHeight="false" outlineLevel="0" collapsed="false">
      <c r="A287" s="13" t="str">
        <f aca="false">IF('Checkout Log'!$L258&lt;&gt;"Checked Out","",'Checkout Log'!$A258)</f>
        <v/>
      </c>
      <c r="B287" s="13" t="str">
        <f aca="false">IF('Checkout Log'!L258&lt;&gt;"Checked Out","",'Checkout Log'!C258)</f>
        <v/>
      </c>
      <c r="C287" s="13" t="str">
        <f aca="false">IF('Checkout Log'!L258&lt;&gt;"Checked Out","",'Checkout Log'!D258)</f>
        <v/>
      </c>
      <c r="D287" s="13" t="str">
        <f aca="false">IF('Checkout Log'!L258&lt;&gt;"Checked Out","",'Checkout Log'!E258)</f>
        <v/>
      </c>
      <c r="E287" s="14" t="str">
        <f aca="false">IF('Checkout Log'!L258&lt;&gt;"Checked Out","",'Checkout Log'!H258)</f>
        <v/>
      </c>
      <c r="F287" s="14" t="str">
        <f aca="false">IF('Checkout Log'!L258&lt;&gt;"Checked Out","",'Checkout Log'!I258)</f>
        <v/>
      </c>
    </row>
    <row r="288" customFormat="false" ht="15" hidden="false" customHeight="false" outlineLevel="0" collapsed="false">
      <c r="A288" s="11" t="str">
        <f aca="false">IF('Checkout Log'!$L259&lt;&gt;"Checked Out","",'Checkout Log'!$A259)</f>
        <v/>
      </c>
      <c r="B288" s="11" t="str">
        <f aca="false">IF('Checkout Log'!L259&lt;&gt;"Checked Out","",'Checkout Log'!C259)</f>
        <v/>
      </c>
      <c r="C288" s="11" t="str">
        <f aca="false">IF('Checkout Log'!L259&lt;&gt;"Checked Out","",'Checkout Log'!D259)</f>
        <v/>
      </c>
      <c r="D288" s="11" t="str">
        <f aca="false">IF('Checkout Log'!L259&lt;&gt;"Checked Out","",'Checkout Log'!E259)</f>
        <v/>
      </c>
      <c r="E288" s="12" t="str">
        <f aca="false">IF('Checkout Log'!L259&lt;&gt;"Checked Out","",'Checkout Log'!H259)</f>
        <v/>
      </c>
      <c r="F288" s="12" t="str">
        <f aca="false">IF('Checkout Log'!L259&lt;&gt;"Checked Out","",'Checkout Log'!I259)</f>
        <v/>
      </c>
    </row>
    <row r="289" customFormat="false" ht="15" hidden="false" customHeight="false" outlineLevel="0" collapsed="false">
      <c r="A289" s="13" t="str">
        <f aca="false">IF('Checkout Log'!$L260&lt;&gt;"Checked Out","",'Checkout Log'!$A260)</f>
        <v/>
      </c>
      <c r="B289" s="13" t="str">
        <f aca="false">IF('Checkout Log'!L260&lt;&gt;"Checked Out","",'Checkout Log'!C260)</f>
        <v/>
      </c>
      <c r="C289" s="13" t="str">
        <f aca="false">IF('Checkout Log'!L260&lt;&gt;"Checked Out","",'Checkout Log'!D260)</f>
        <v/>
      </c>
      <c r="D289" s="13" t="str">
        <f aca="false">IF('Checkout Log'!L260&lt;&gt;"Checked Out","",'Checkout Log'!E260)</f>
        <v/>
      </c>
      <c r="E289" s="14" t="str">
        <f aca="false">IF('Checkout Log'!L260&lt;&gt;"Checked Out","",'Checkout Log'!H260)</f>
        <v/>
      </c>
      <c r="F289" s="14" t="str">
        <f aca="false">IF('Checkout Log'!L260&lt;&gt;"Checked Out","",'Checkout Log'!I260)</f>
        <v/>
      </c>
    </row>
    <row r="290" customFormat="false" ht="15" hidden="false" customHeight="false" outlineLevel="0" collapsed="false">
      <c r="A290" s="11" t="str">
        <f aca="false">IF('Checkout Log'!$L261&lt;&gt;"Checked Out","",'Checkout Log'!$A261)</f>
        <v/>
      </c>
      <c r="B290" s="11" t="str">
        <f aca="false">IF('Checkout Log'!L261&lt;&gt;"Checked Out","",'Checkout Log'!C261)</f>
        <v/>
      </c>
      <c r="C290" s="11" t="str">
        <f aca="false">IF('Checkout Log'!L261&lt;&gt;"Checked Out","",'Checkout Log'!D261)</f>
        <v/>
      </c>
      <c r="D290" s="11" t="str">
        <f aca="false">IF('Checkout Log'!L261&lt;&gt;"Checked Out","",'Checkout Log'!E261)</f>
        <v/>
      </c>
      <c r="E290" s="12" t="str">
        <f aca="false">IF('Checkout Log'!L261&lt;&gt;"Checked Out","",'Checkout Log'!H261)</f>
        <v/>
      </c>
      <c r="F290" s="12" t="str">
        <f aca="false">IF('Checkout Log'!L261&lt;&gt;"Checked Out","",'Checkout Log'!I261)</f>
        <v/>
      </c>
    </row>
    <row r="291" customFormat="false" ht="15" hidden="false" customHeight="false" outlineLevel="0" collapsed="false">
      <c r="A291" s="13" t="str">
        <f aca="false">IF('Checkout Log'!$L262&lt;&gt;"Checked Out","",'Checkout Log'!$A262)</f>
        <v/>
      </c>
      <c r="B291" s="13" t="str">
        <f aca="false">IF('Checkout Log'!L262&lt;&gt;"Checked Out","",'Checkout Log'!C262)</f>
        <v/>
      </c>
      <c r="C291" s="13" t="str">
        <f aca="false">IF('Checkout Log'!L262&lt;&gt;"Checked Out","",'Checkout Log'!D262)</f>
        <v/>
      </c>
      <c r="D291" s="13" t="str">
        <f aca="false">IF('Checkout Log'!L262&lt;&gt;"Checked Out","",'Checkout Log'!E262)</f>
        <v/>
      </c>
      <c r="E291" s="14" t="str">
        <f aca="false">IF('Checkout Log'!L262&lt;&gt;"Checked Out","",'Checkout Log'!H262)</f>
        <v/>
      </c>
      <c r="F291" s="14" t="str">
        <f aca="false">IF('Checkout Log'!L262&lt;&gt;"Checked Out","",'Checkout Log'!I262)</f>
        <v/>
      </c>
    </row>
    <row r="292" customFormat="false" ht="15" hidden="false" customHeight="false" outlineLevel="0" collapsed="false">
      <c r="A292" s="11" t="str">
        <f aca="false">IF('Checkout Log'!$L263&lt;&gt;"Checked Out","",'Checkout Log'!$A263)</f>
        <v/>
      </c>
      <c r="B292" s="11" t="str">
        <f aca="false">IF('Checkout Log'!L263&lt;&gt;"Checked Out","",'Checkout Log'!C263)</f>
        <v/>
      </c>
      <c r="C292" s="11" t="str">
        <f aca="false">IF('Checkout Log'!L263&lt;&gt;"Checked Out","",'Checkout Log'!D263)</f>
        <v/>
      </c>
      <c r="D292" s="11" t="str">
        <f aca="false">IF('Checkout Log'!L263&lt;&gt;"Checked Out","",'Checkout Log'!E263)</f>
        <v/>
      </c>
      <c r="E292" s="12" t="str">
        <f aca="false">IF('Checkout Log'!L263&lt;&gt;"Checked Out","",'Checkout Log'!H263)</f>
        <v/>
      </c>
      <c r="F292" s="12" t="str">
        <f aca="false">IF('Checkout Log'!L263&lt;&gt;"Checked Out","",'Checkout Log'!I263)</f>
        <v/>
      </c>
    </row>
    <row r="293" customFormat="false" ht="15" hidden="false" customHeight="false" outlineLevel="0" collapsed="false">
      <c r="A293" s="13" t="str">
        <f aca="false">IF('Checkout Log'!$L264&lt;&gt;"Checked Out","",'Checkout Log'!$A264)</f>
        <v/>
      </c>
      <c r="B293" s="13" t="str">
        <f aca="false">IF('Checkout Log'!L264&lt;&gt;"Checked Out","",'Checkout Log'!C264)</f>
        <v/>
      </c>
      <c r="C293" s="13" t="str">
        <f aca="false">IF('Checkout Log'!L264&lt;&gt;"Checked Out","",'Checkout Log'!D264)</f>
        <v/>
      </c>
      <c r="D293" s="13" t="str">
        <f aca="false">IF('Checkout Log'!L264&lt;&gt;"Checked Out","",'Checkout Log'!E264)</f>
        <v/>
      </c>
      <c r="E293" s="14" t="str">
        <f aca="false">IF('Checkout Log'!L264&lt;&gt;"Checked Out","",'Checkout Log'!H264)</f>
        <v/>
      </c>
      <c r="F293" s="14" t="str">
        <f aca="false">IF('Checkout Log'!L264&lt;&gt;"Checked Out","",'Checkout Log'!I264)</f>
        <v/>
      </c>
    </row>
    <row r="294" customFormat="false" ht="15" hidden="false" customHeight="false" outlineLevel="0" collapsed="false">
      <c r="A294" s="11" t="str">
        <f aca="false">IF('Checkout Log'!$L265&lt;&gt;"Checked Out","",'Checkout Log'!$A265)</f>
        <v/>
      </c>
      <c r="B294" s="11" t="str">
        <f aca="false">IF('Checkout Log'!L265&lt;&gt;"Checked Out","",'Checkout Log'!C265)</f>
        <v/>
      </c>
      <c r="C294" s="11" t="str">
        <f aca="false">IF('Checkout Log'!L265&lt;&gt;"Checked Out","",'Checkout Log'!D265)</f>
        <v/>
      </c>
      <c r="D294" s="11" t="str">
        <f aca="false">IF('Checkout Log'!L265&lt;&gt;"Checked Out","",'Checkout Log'!E265)</f>
        <v/>
      </c>
      <c r="E294" s="12" t="str">
        <f aca="false">IF('Checkout Log'!L265&lt;&gt;"Checked Out","",'Checkout Log'!H265)</f>
        <v/>
      </c>
      <c r="F294" s="12" t="str">
        <f aca="false">IF('Checkout Log'!L265&lt;&gt;"Checked Out","",'Checkout Log'!I265)</f>
        <v/>
      </c>
    </row>
    <row r="295" customFormat="false" ht="15" hidden="false" customHeight="false" outlineLevel="0" collapsed="false">
      <c r="A295" s="13" t="str">
        <f aca="false">IF('Checkout Log'!$L266&lt;&gt;"Checked Out","",'Checkout Log'!$A266)</f>
        <v/>
      </c>
      <c r="B295" s="13" t="str">
        <f aca="false">IF('Checkout Log'!L266&lt;&gt;"Checked Out","",'Checkout Log'!C266)</f>
        <v/>
      </c>
      <c r="C295" s="13" t="str">
        <f aca="false">IF('Checkout Log'!L266&lt;&gt;"Checked Out","",'Checkout Log'!D266)</f>
        <v/>
      </c>
      <c r="D295" s="13" t="str">
        <f aca="false">IF('Checkout Log'!L266&lt;&gt;"Checked Out","",'Checkout Log'!E266)</f>
        <v/>
      </c>
      <c r="E295" s="14" t="str">
        <f aca="false">IF('Checkout Log'!L266&lt;&gt;"Checked Out","",'Checkout Log'!H266)</f>
        <v/>
      </c>
      <c r="F295" s="14" t="str">
        <f aca="false">IF('Checkout Log'!L266&lt;&gt;"Checked Out","",'Checkout Log'!I266)</f>
        <v/>
      </c>
    </row>
    <row r="296" customFormat="false" ht="15" hidden="false" customHeight="false" outlineLevel="0" collapsed="false">
      <c r="A296" s="11" t="str">
        <f aca="false">IF('Checkout Log'!$L267&lt;&gt;"Checked Out","",'Checkout Log'!$A267)</f>
        <v/>
      </c>
      <c r="B296" s="11" t="str">
        <f aca="false">IF('Checkout Log'!L267&lt;&gt;"Checked Out","",'Checkout Log'!C267)</f>
        <v/>
      </c>
      <c r="C296" s="11" t="str">
        <f aca="false">IF('Checkout Log'!L267&lt;&gt;"Checked Out","",'Checkout Log'!D267)</f>
        <v/>
      </c>
      <c r="D296" s="11" t="str">
        <f aca="false">IF('Checkout Log'!L267&lt;&gt;"Checked Out","",'Checkout Log'!E267)</f>
        <v/>
      </c>
      <c r="E296" s="12" t="str">
        <f aca="false">IF('Checkout Log'!L267&lt;&gt;"Checked Out","",'Checkout Log'!H267)</f>
        <v/>
      </c>
      <c r="F296" s="12" t="str">
        <f aca="false">IF('Checkout Log'!L267&lt;&gt;"Checked Out","",'Checkout Log'!I267)</f>
        <v/>
      </c>
    </row>
    <row r="297" customFormat="false" ht="15" hidden="false" customHeight="false" outlineLevel="0" collapsed="false">
      <c r="A297" s="13" t="str">
        <f aca="false">IF('Checkout Log'!$L268&lt;&gt;"Checked Out","",'Checkout Log'!$A268)</f>
        <v/>
      </c>
      <c r="B297" s="13" t="str">
        <f aca="false">IF('Checkout Log'!L268&lt;&gt;"Checked Out","",'Checkout Log'!C268)</f>
        <v/>
      </c>
      <c r="C297" s="13" t="str">
        <f aca="false">IF('Checkout Log'!L268&lt;&gt;"Checked Out","",'Checkout Log'!D268)</f>
        <v/>
      </c>
      <c r="D297" s="13" t="str">
        <f aca="false">IF('Checkout Log'!L268&lt;&gt;"Checked Out","",'Checkout Log'!E268)</f>
        <v/>
      </c>
      <c r="E297" s="14" t="str">
        <f aca="false">IF('Checkout Log'!L268&lt;&gt;"Checked Out","",'Checkout Log'!H268)</f>
        <v/>
      </c>
      <c r="F297" s="14" t="str">
        <f aca="false">IF('Checkout Log'!L268&lt;&gt;"Checked Out","",'Checkout Log'!I268)</f>
        <v/>
      </c>
    </row>
    <row r="298" customFormat="false" ht="15" hidden="false" customHeight="false" outlineLevel="0" collapsed="false">
      <c r="A298" s="11" t="str">
        <f aca="false">IF('Checkout Log'!$L269&lt;&gt;"Checked Out","",'Checkout Log'!$A269)</f>
        <v/>
      </c>
      <c r="B298" s="11" t="str">
        <f aca="false">IF('Checkout Log'!L269&lt;&gt;"Checked Out","",'Checkout Log'!C269)</f>
        <v/>
      </c>
      <c r="C298" s="11" t="str">
        <f aca="false">IF('Checkout Log'!L269&lt;&gt;"Checked Out","",'Checkout Log'!D269)</f>
        <v/>
      </c>
      <c r="D298" s="11" t="str">
        <f aca="false">IF('Checkout Log'!L269&lt;&gt;"Checked Out","",'Checkout Log'!E269)</f>
        <v/>
      </c>
      <c r="E298" s="12" t="str">
        <f aca="false">IF('Checkout Log'!L269&lt;&gt;"Checked Out","",'Checkout Log'!H269)</f>
        <v/>
      </c>
      <c r="F298" s="12" t="str">
        <f aca="false">IF('Checkout Log'!L269&lt;&gt;"Checked Out","",'Checkout Log'!I269)</f>
        <v/>
      </c>
    </row>
    <row r="299" customFormat="false" ht="15" hidden="false" customHeight="false" outlineLevel="0" collapsed="false">
      <c r="A299" s="13" t="str">
        <f aca="false">IF('Checkout Log'!$L270&lt;&gt;"Checked Out","",'Checkout Log'!$A270)</f>
        <v/>
      </c>
      <c r="B299" s="13" t="str">
        <f aca="false">IF('Checkout Log'!L270&lt;&gt;"Checked Out","",'Checkout Log'!C270)</f>
        <v/>
      </c>
      <c r="C299" s="13" t="str">
        <f aca="false">IF('Checkout Log'!L270&lt;&gt;"Checked Out","",'Checkout Log'!D270)</f>
        <v/>
      </c>
      <c r="D299" s="13" t="str">
        <f aca="false">IF('Checkout Log'!L270&lt;&gt;"Checked Out","",'Checkout Log'!E270)</f>
        <v/>
      </c>
      <c r="E299" s="14" t="str">
        <f aca="false">IF('Checkout Log'!L270&lt;&gt;"Checked Out","",'Checkout Log'!H270)</f>
        <v/>
      </c>
      <c r="F299" s="14" t="str">
        <f aca="false">IF('Checkout Log'!L270&lt;&gt;"Checked Out","",'Checkout Log'!I270)</f>
        <v/>
      </c>
    </row>
    <row r="300" customFormat="false" ht="15" hidden="false" customHeight="false" outlineLevel="0" collapsed="false">
      <c r="A300" s="11" t="str">
        <f aca="false">IF('Checkout Log'!$L271&lt;&gt;"Checked Out","",'Checkout Log'!$A271)</f>
        <v/>
      </c>
      <c r="B300" s="11" t="str">
        <f aca="false">IF('Checkout Log'!L271&lt;&gt;"Checked Out","",'Checkout Log'!C271)</f>
        <v/>
      </c>
      <c r="C300" s="11" t="str">
        <f aca="false">IF('Checkout Log'!L271&lt;&gt;"Checked Out","",'Checkout Log'!D271)</f>
        <v/>
      </c>
      <c r="D300" s="11" t="str">
        <f aca="false">IF('Checkout Log'!L271&lt;&gt;"Checked Out","",'Checkout Log'!E271)</f>
        <v/>
      </c>
      <c r="E300" s="12" t="str">
        <f aca="false">IF('Checkout Log'!L271&lt;&gt;"Checked Out","",'Checkout Log'!H271)</f>
        <v/>
      </c>
      <c r="F300" s="12" t="str">
        <f aca="false">IF('Checkout Log'!L271&lt;&gt;"Checked Out","",'Checkout Log'!I271)</f>
        <v/>
      </c>
    </row>
    <row r="301" customFormat="false" ht="15" hidden="false" customHeight="false" outlineLevel="0" collapsed="false">
      <c r="A301" s="13" t="str">
        <f aca="false">IF('Checkout Log'!$L272&lt;&gt;"Checked Out","",'Checkout Log'!$A272)</f>
        <v/>
      </c>
      <c r="B301" s="13" t="str">
        <f aca="false">IF('Checkout Log'!L272&lt;&gt;"Checked Out","",'Checkout Log'!C272)</f>
        <v/>
      </c>
      <c r="C301" s="13" t="str">
        <f aca="false">IF('Checkout Log'!L272&lt;&gt;"Checked Out","",'Checkout Log'!D272)</f>
        <v/>
      </c>
      <c r="D301" s="13" t="str">
        <f aca="false">IF('Checkout Log'!L272&lt;&gt;"Checked Out","",'Checkout Log'!E272)</f>
        <v/>
      </c>
      <c r="E301" s="14" t="str">
        <f aca="false">IF('Checkout Log'!L272&lt;&gt;"Checked Out","",'Checkout Log'!H272)</f>
        <v/>
      </c>
      <c r="F301" s="14" t="str">
        <f aca="false">IF('Checkout Log'!L272&lt;&gt;"Checked Out","",'Checkout Log'!I272)</f>
        <v/>
      </c>
    </row>
    <row r="302" customFormat="false" ht="15" hidden="false" customHeight="false" outlineLevel="0" collapsed="false">
      <c r="A302" s="11" t="str">
        <f aca="false">IF('Checkout Log'!$L273&lt;&gt;"Checked Out","",'Checkout Log'!$A273)</f>
        <v/>
      </c>
      <c r="B302" s="11" t="str">
        <f aca="false">IF('Checkout Log'!L273&lt;&gt;"Checked Out","",'Checkout Log'!C273)</f>
        <v/>
      </c>
      <c r="C302" s="11" t="str">
        <f aca="false">IF('Checkout Log'!L273&lt;&gt;"Checked Out","",'Checkout Log'!D273)</f>
        <v/>
      </c>
      <c r="D302" s="11" t="str">
        <f aca="false">IF('Checkout Log'!L273&lt;&gt;"Checked Out","",'Checkout Log'!E273)</f>
        <v/>
      </c>
      <c r="E302" s="12" t="str">
        <f aca="false">IF('Checkout Log'!L273&lt;&gt;"Checked Out","",'Checkout Log'!H273)</f>
        <v/>
      </c>
      <c r="F302" s="12" t="str">
        <f aca="false">IF('Checkout Log'!L273&lt;&gt;"Checked Out","",'Checkout Log'!I273)</f>
        <v/>
      </c>
    </row>
    <row r="303" customFormat="false" ht="15" hidden="false" customHeight="false" outlineLevel="0" collapsed="false">
      <c r="A303" s="13" t="str">
        <f aca="false">IF('Checkout Log'!$L274&lt;&gt;"Checked Out","",'Checkout Log'!$A274)</f>
        <v/>
      </c>
      <c r="B303" s="13" t="str">
        <f aca="false">IF('Checkout Log'!L274&lt;&gt;"Checked Out","",'Checkout Log'!C274)</f>
        <v/>
      </c>
      <c r="C303" s="13" t="str">
        <f aca="false">IF('Checkout Log'!L274&lt;&gt;"Checked Out","",'Checkout Log'!D274)</f>
        <v/>
      </c>
      <c r="D303" s="13" t="str">
        <f aca="false">IF('Checkout Log'!L274&lt;&gt;"Checked Out","",'Checkout Log'!E274)</f>
        <v/>
      </c>
      <c r="E303" s="14" t="str">
        <f aca="false">IF('Checkout Log'!L274&lt;&gt;"Checked Out","",'Checkout Log'!H274)</f>
        <v/>
      </c>
      <c r="F303" s="14" t="str">
        <f aca="false">IF('Checkout Log'!L274&lt;&gt;"Checked Out","",'Checkout Log'!I274)</f>
        <v/>
      </c>
    </row>
    <row r="304" customFormat="false" ht="15" hidden="false" customHeight="false" outlineLevel="0" collapsed="false">
      <c r="A304" s="11" t="str">
        <f aca="false">IF('Checkout Log'!$L275&lt;&gt;"Checked Out","",'Checkout Log'!$A275)</f>
        <v/>
      </c>
      <c r="B304" s="11" t="str">
        <f aca="false">IF('Checkout Log'!L275&lt;&gt;"Checked Out","",'Checkout Log'!C275)</f>
        <v/>
      </c>
      <c r="C304" s="11" t="str">
        <f aca="false">IF('Checkout Log'!L275&lt;&gt;"Checked Out","",'Checkout Log'!D275)</f>
        <v/>
      </c>
      <c r="D304" s="11" t="str">
        <f aca="false">IF('Checkout Log'!L275&lt;&gt;"Checked Out","",'Checkout Log'!E275)</f>
        <v/>
      </c>
      <c r="E304" s="12" t="str">
        <f aca="false">IF('Checkout Log'!L275&lt;&gt;"Checked Out","",'Checkout Log'!H275)</f>
        <v/>
      </c>
      <c r="F304" s="12" t="str">
        <f aca="false">IF('Checkout Log'!L275&lt;&gt;"Checked Out","",'Checkout Log'!I275)</f>
        <v/>
      </c>
    </row>
    <row r="305" customFormat="false" ht="15" hidden="false" customHeight="false" outlineLevel="0" collapsed="false">
      <c r="A305" s="13" t="str">
        <f aca="false">IF('Checkout Log'!$L276&lt;&gt;"Checked Out","",'Checkout Log'!$A276)</f>
        <v/>
      </c>
      <c r="B305" s="13" t="str">
        <f aca="false">IF('Checkout Log'!L276&lt;&gt;"Checked Out","",'Checkout Log'!C276)</f>
        <v/>
      </c>
      <c r="C305" s="13" t="str">
        <f aca="false">IF('Checkout Log'!L276&lt;&gt;"Checked Out","",'Checkout Log'!D276)</f>
        <v/>
      </c>
      <c r="D305" s="13" t="str">
        <f aca="false">IF('Checkout Log'!L276&lt;&gt;"Checked Out","",'Checkout Log'!E276)</f>
        <v/>
      </c>
      <c r="E305" s="14" t="str">
        <f aca="false">IF('Checkout Log'!L276&lt;&gt;"Checked Out","",'Checkout Log'!H276)</f>
        <v/>
      </c>
      <c r="F305" s="14" t="str">
        <f aca="false">IF('Checkout Log'!L276&lt;&gt;"Checked Out","",'Checkout Log'!I276)</f>
        <v/>
      </c>
    </row>
    <row r="306" customFormat="false" ht="15" hidden="false" customHeight="false" outlineLevel="0" collapsed="false">
      <c r="A306" s="11" t="str">
        <f aca="false">IF('Checkout Log'!$L277&lt;&gt;"Checked Out","",'Checkout Log'!$A277)</f>
        <v/>
      </c>
      <c r="B306" s="11" t="str">
        <f aca="false">IF('Checkout Log'!L277&lt;&gt;"Checked Out","",'Checkout Log'!C277)</f>
        <v/>
      </c>
      <c r="C306" s="11" t="str">
        <f aca="false">IF('Checkout Log'!L277&lt;&gt;"Checked Out","",'Checkout Log'!D277)</f>
        <v/>
      </c>
      <c r="D306" s="11" t="str">
        <f aca="false">IF('Checkout Log'!L277&lt;&gt;"Checked Out","",'Checkout Log'!E277)</f>
        <v/>
      </c>
      <c r="E306" s="12" t="str">
        <f aca="false">IF('Checkout Log'!L277&lt;&gt;"Checked Out","",'Checkout Log'!H277)</f>
        <v/>
      </c>
      <c r="F306" s="12" t="str">
        <f aca="false">IF('Checkout Log'!L277&lt;&gt;"Checked Out","",'Checkout Log'!I277)</f>
        <v/>
      </c>
    </row>
    <row r="307" customFormat="false" ht="15" hidden="false" customHeight="false" outlineLevel="0" collapsed="false">
      <c r="A307" s="13" t="str">
        <f aca="false">IF('Checkout Log'!$L278&lt;&gt;"Checked Out","",'Checkout Log'!$A278)</f>
        <v/>
      </c>
      <c r="B307" s="13" t="str">
        <f aca="false">IF('Checkout Log'!L278&lt;&gt;"Checked Out","",'Checkout Log'!C278)</f>
        <v/>
      </c>
      <c r="C307" s="13" t="str">
        <f aca="false">IF('Checkout Log'!L278&lt;&gt;"Checked Out","",'Checkout Log'!D278)</f>
        <v/>
      </c>
      <c r="D307" s="13" t="str">
        <f aca="false">IF('Checkout Log'!L278&lt;&gt;"Checked Out","",'Checkout Log'!E278)</f>
        <v/>
      </c>
      <c r="E307" s="14" t="str">
        <f aca="false">IF('Checkout Log'!L278&lt;&gt;"Checked Out","",'Checkout Log'!H278)</f>
        <v/>
      </c>
      <c r="F307" s="14" t="str">
        <f aca="false">IF('Checkout Log'!L278&lt;&gt;"Checked Out","",'Checkout Log'!I278)</f>
        <v/>
      </c>
    </row>
    <row r="308" customFormat="false" ht="15" hidden="false" customHeight="false" outlineLevel="0" collapsed="false">
      <c r="A308" s="11" t="str">
        <f aca="false">IF('Checkout Log'!$L279&lt;&gt;"Checked Out","",'Checkout Log'!$A279)</f>
        <v/>
      </c>
      <c r="B308" s="11" t="str">
        <f aca="false">IF('Checkout Log'!L279&lt;&gt;"Checked Out","",'Checkout Log'!C279)</f>
        <v/>
      </c>
      <c r="C308" s="11" t="str">
        <f aca="false">IF('Checkout Log'!L279&lt;&gt;"Checked Out","",'Checkout Log'!D279)</f>
        <v/>
      </c>
      <c r="D308" s="11" t="str">
        <f aca="false">IF('Checkout Log'!L279&lt;&gt;"Checked Out","",'Checkout Log'!E279)</f>
        <v/>
      </c>
      <c r="E308" s="12" t="str">
        <f aca="false">IF('Checkout Log'!L279&lt;&gt;"Checked Out","",'Checkout Log'!H279)</f>
        <v/>
      </c>
      <c r="F308" s="12" t="str">
        <f aca="false">IF('Checkout Log'!L279&lt;&gt;"Checked Out","",'Checkout Log'!I279)</f>
        <v/>
      </c>
    </row>
    <row r="309" customFormat="false" ht="15" hidden="false" customHeight="false" outlineLevel="0" collapsed="false">
      <c r="A309" s="13" t="str">
        <f aca="false">IF('Checkout Log'!$L280&lt;&gt;"Checked Out","",'Checkout Log'!$A280)</f>
        <v/>
      </c>
      <c r="B309" s="13" t="str">
        <f aca="false">IF('Checkout Log'!L280&lt;&gt;"Checked Out","",'Checkout Log'!C280)</f>
        <v/>
      </c>
      <c r="C309" s="13" t="str">
        <f aca="false">IF('Checkout Log'!L280&lt;&gt;"Checked Out","",'Checkout Log'!D280)</f>
        <v/>
      </c>
      <c r="D309" s="13" t="str">
        <f aca="false">IF('Checkout Log'!L280&lt;&gt;"Checked Out","",'Checkout Log'!E280)</f>
        <v/>
      </c>
      <c r="E309" s="14" t="str">
        <f aca="false">IF('Checkout Log'!L280&lt;&gt;"Checked Out","",'Checkout Log'!H280)</f>
        <v/>
      </c>
      <c r="F309" s="14" t="str">
        <f aca="false">IF('Checkout Log'!L280&lt;&gt;"Checked Out","",'Checkout Log'!I280)</f>
        <v/>
      </c>
    </row>
    <row r="310" customFormat="false" ht="15" hidden="false" customHeight="false" outlineLevel="0" collapsed="false">
      <c r="A310" s="11" t="str">
        <f aca="false">IF('Checkout Log'!$L281&lt;&gt;"Checked Out","",'Checkout Log'!$A281)</f>
        <v/>
      </c>
      <c r="B310" s="11" t="str">
        <f aca="false">IF('Checkout Log'!L281&lt;&gt;"Checked Out","",'Checkout Log'!C281)</f>
        <v/>
      </c>
      <c r="C310" s="11" t="str">
        <f aca="false">IF('Checkout Log'!L281&lt;&gt;"Checked Out","",'Checkout Log'!D281)</f>
        <v/>
      </c>
      <c r="D310" s="11" t="str">
        <f aca="false">IF('Checkout Log'!L281&lt;&gt;"Checked Out","",'Checkout Log'!E281)</f>
        <v/>
      </c>
      <c r="E310" s="12" t="str">
        <f aca="false">IF('Checkout Log'!L281&lt;&gt;"Checked Out","",'Checkout Log'!H281)</f>
        <v/>
      </c>
      <c r="F310" s="12" t="str">
        <f aca="false">IF('Checkout Log'!L281&lt;&gt;"Checked Out","",'Checkout Log'!I281)</f>
        <v/>
      </c>
    </row>
    <row r="311" customFormat="false" ht="15" hidden="false" customHeight="false" outlineLevel="0" collapsed="false">
      <c r="A311" s="13" t="str">
        <f aca="false">IF('Checkout Log'!$L282&lt;&gt;"Checked Out","",'Checkout Log'!$A282)</f>
        <v/>
      </c>
      <c r="B311" s="13" t="str">
        <f aca="false">IF('Checkout Log'!L282&lt;&gt;"Checked Out","",'Checkout Log'!C282)</f>
        <v/>
      </c>
      <c r="C311" s="13" t="str">
        <f aca="false">IF('Checkout Log'!L282&lt;&gt;"Checked Out","",'Checkout Log'!D282)</f>
        <v/>
      </c>
      <c r="D311" s="13" t="str">
        <f aca="false">IF('Checkout Log'!L282&lt;&gt;"Checked Out","",'Checkout Log'!E282)</f>
        <v/>
      </c>
      <c r="E311" s="14" t="str">
        <f aca="false">IF('Checkout Log'!L282&lt;&gt;"Checked Out","",'Checkout Log'!H282)</f>
        <v/>
      </c>
      <c r="F311" s="14" t="str">
        <f aca="false">IF('Checkout Log'!L282&lt;&gt;"Checked Out","",'Checkout Log'!I282)</f>
        <v/>
      </c>
    </row>
    <row r="312" customFormat="false" ht="15" hidden="false" customHeight="false" outlineLevel="0" collapsed="false">
      <c r="A312" s="11" t="str">
        <f aca="false">IF('Checkout Log'!$L283&lt;&gt;"Checked Out","",'Checkout Log'!$A283)</f>
        <v/>
      </c>
      <c r="B312" s="11" t="str">
        <f aca="false">IF('Checkout Log'!L283&lt;&gt;"Checked Out","",'Checkout Log'!C283)</f>
        <v/>
      </c>
      <c r="C312" s="11" t="str">
        <f aca="false">IF('Checkout Log'!L283&lt;&gt;"Checked Out","",'Checkout Log'!D283)</f>
        <v/>
      </c>
      <c r="D312" s="11" t="str">
        <f aca="false">IF('Checkout Log'!L283&lt;&gt;"Checked Out","",'Checkout Log'!E283)</f>
        <v/>
      </c>
      <c r="E312" s="12" t="str">
        <f aca="false">IF('Checkout Log'!L283&lt;&gt;"Checked Out","",'Checkout Log'!H283)</f>
        <v/>
      </c>
      <c r="F312" s="12" t="str">
        <f aca="false">IF('Checkout Log'!L283&lt;&gt;"Checked Out","",'Checkout Log'!I283)</f>
        <v/>
      </c>
    </row>
    <row r="313" customFormat="false" ht="15" hidden="false" customHeight="false" outlineLevel="0" collapsed="false">
      <c r="A313" s="13" t="str">
        <f aca="false">IF('Checkout Log'!$L284&lt;&gt;"Checked Out","",'Checkout Log'!$A284)</f>
        <v/>
      </c>
      <c r="B313" s="13" t="str">
        <f aca="false">IF('Checkout Log'!L284&lt;&gt;"Checked Out","",'Checkout Log'!C284)</f>
        <v/>
      </c>
      <c r="C313" s="13" t="str">
        <f aca="false">IF('Checkout Log'!L284&lt;&gt;"Checked Out","",'Checkout Log'!D284)</f>
        <v/>
      </c>
      <c r="D313" s="13" t="str">
        <f aca="false">IF('Checkout Log'!L284&lt;&gt;"Checked Out","",'Checkout Log'!E284)</f>
        <v/>
      </c>
      <c r="E313" s="14" t="str">
        <f aca="false">IF('Checkout Log'!L284&lt;&gt;"Checked Out","",'Checkout Log'!H284)</f>
        <v/>
      </c>
      <c r="F313" s="14" t="str">
        <f aca="false">IF('Checkout Log'!L284&lt;&gt;"Checked Out","",'Checkout Log'!I284)</f>
        <v/>
      </c>
    </row>
    <row r="314" customFormat="false" ht="15" hidden="false" customHeight="false" outlineLevel="0" collapsed="false">
      <c r="A314" s="11" t="str">
        <f aca="false">IF('Checkout Log'!$L285&lt;&gt;"Checked Out","",'Checkout Log'!$A285)</f>
        <v/>
      </c>
      <c r="B314" s="11" t="str">
        <f aca="false">IF('Checkout Log'!L285&lt;&gt;"Checked Out","",'Checkout Log'!C285)</f>
        <v/>
      </c>
      <c r="C314" s="11" t="str">
        <f aca="false">IF('Checkout Log'!L285&lt;&gt;"Checked Out","",'Checkout Log'!D285)</f>
        <v/>
      </c>
      <c r="D314" s="11" t="str">
        <f aca="false">IF('Checkout Log'!L285&lt;&gt;"Checked Out","",'Checkout Log'!E285)</f>
        <v/>
      </c>
      <c r="E314" s="12" t="str">
        <f aca="false">IF('Checkout Log'!L285&lt;&gt;"Checked Out","",'Checkout Log'!H285)</f>
        <v/>
      </c>
      <c r="F314" s="12" t="str">
        <f aca="false">IF('Checkout Log'!L285&lt;&gt;"Checked Out","",'Checkout Log'!I285)</f>
        <v/>
      </c>
    </row>
    <row r="315" customFormat="false" ht="15" hidden="false" customHeight="false" outlineLevel="0" collapsed="false">
      <c r="A315" s="13" t="str">
        <f aca="false">IF('Checkout Log'!$L286&lt;&gt;"Checked Out","",'Checkout Log'!$A286)</f>
        <v/>
      </c>
      <c r="B315" s="13" t="str">
        <f aca="false">IF('Checkout Log'!L286&lt;&gt;"Checked Out","",'Checkout Log'!C286)</f>
        <v/>
      </c>
      <c r="C315" s="13" t="str">
        <f aca="false">IF('Checkout Log'!L286&lt;&gt;"Checked Out","",'Checkout Log'!D286)</f>
        <v/>
      </c>
      <c r="D315" s="13" t="str">
        <f aca="false">IF('Checkout Log'!L286&lt;&gt;"Checked Out","",'Checkout Log'!E286)</f>
        <v/>
      </c>
      <c r="E315" s="14" t="str">
        <f aca="false">IF('Checkout Log'!L286&lt;&gt;"Checked Out","",'Checkout Log'!H286)</f>
        <v/>
      </c>
      <c r="F315" s="14" t="str">
        <f aca="false">IF('Checkout Log'!L286&lt;&gt;"Checked Out","",'Checkout Log'!I286)</f>
        <v/>
      </c>
    </row>
    <row r="316" customFormat="false" ht="15" hidden="false" customHeight="false" outlineLevel="0" collapsed="false">
      <c r="A316" s="11" t="str">
        <f aca="false">IF('Checkout Log'!$L287&lt;&gt;"Checked Out","",'Checkout Log'!$A287)</f>
        <v/>
      </c>
      <c r="B316" s="11" t="str">
        <f aca="false">IF('Checkout Log'!L287&lt;&gt;"Checked Out","",'Checkout Log'!C287)</f>
        <v/>
      </c>
      <c r="C316" s="11" t="str">
        <f aca="false">IF('Checkout Log'!L287&lt;&gt;"Checked Out","",'Checkout Log'!D287)</f>
        <v/>
      </c>
      <c r="D316" s="11" t="str">
        <f aca="false">IF('Checkout Log'!L287&lt;&gt;"Checked Out","",'Checkout Log'!E287)</f>
        <v/>
      </c>
      <c r="E316" s="12" t="str">
        <f aca="false">IF('Checkout Log'!L287&lt;&gt;"Checked Out","",'Checkout Log'!H287)</f>
        <v/>
      </c>
      <c r="F316" s="12" t="str">
        <f aca="false">IF('Checkout Log'!L287&lt;&gt;"Checked Out","",'Checkout Log'!I287)</f>
        <v/>
      </c>
    </row>
    <row r="317" customFormat="false" ht="15" hidden="false" customHeight="false" outlineLevel="0" collapsed="false">
      <c r="A317" s="13" t="str">
        <f aca="false">IF('Checkout Log'!$L288&lt;&gt;"Checked Out","",'Checkout Log'!$A288)</f>
        <v/>
      </c>
      <c r="B317" s="13" t="str">
        <f aca="false">IF('Checkout Log'!L288&lt;&gt;"Checked Out","",'Checkout Log'!C288)</f>
        <v/>
      </c>
      <c r="C317" s="13" t="str">
        <f aca="false">IF('Checkout Log'!L288&lt;&gt;"Checked Out","",'Checkout Log'!D288)</f>
        <v/>
      </c>
      <c r="D317" s="13" t="str">
        <f aca="false">IF('Checkout Log'!L288&lt;&gt;"Checked Out","",'Checkout Log'!E288)</f>
        <v/>
      </c>
      <c r="E317" s="14" t="str">
        <f aca="false">IF('Checkout Log'!L288&lt;&gt;"Checked Out","",'Checkout Log'!H288)</f>
        <v/>
      </c>
      <c r="F317" s="14" t="str">
        <f aca="false">IF('Checkout Log'!L288&lt;&gt;"Checked Out","",'Checkout Log'!I288)</f>
        <v/>
      </c>
    </row>
    <row r="318" customFormat="false" ht="15" hidden="false" customHeight="false" outlineLevel="0" collapsed="false">
      <c r="A318" s="11" t="str">
        <f aca="false">IF('Checkout Log'!$L289&lt;&gt;"Checked Out","",'Checkout Log'!$A289)</f>
        <v/>
      </c>
      <c r="B318" s="11" t="str">
        <f aca="false">IF('Checkout Log'!L289&lt;&gt;"Checked Out","",'Checkout Log'!C289)</f>
        <v/>
      </c>
      <c r="C318" s="11" t="str">
        <f aca="false">IF('Checkout Log'!L289&lt;&gt;"Checked Out","",'Checkout Log'!D289)</f>
        <v/>
      </c>
      <c r="D318" s="11" t="str">
        <f aca="false">IF('Checkout Log'!L289&lt;&gt;"Checked Out","",'Checkout Log'!E289)</f>
        <v/>
      </c>
      <c r="E318" s="12" t="str">
        <f aca="false">IF('Checkout Log'!L289&lt;&gt;"Checked Out","",'Checkout Log'!H289)</f>
        <v/>
      </c>
      <c r="F318" s="12" t="str">
        <f aca="false">IF('Checkout Log'!L289&lt;&gt;"Checked Out","",'Checkout Log'!I289)</f>
        <v/>
      </c>
    </row>
    <row r="319" customFormat="false" ht="15" hidden="false" customHeight="false" outlineLevel="0" collapsed="false">
      <c r="A319" s="13" t="str">
        <f aca="false">IF('Checkout Log'!$L290&lt;&gt;"Checked Out","",'Checkout Log'!$A290)</f>
        <v/>
      </c>
      <c r="B319" s="13" t="str">
        <f aca="false">IF('Checkout Log'!L290&lt;&gt;"Checked Out","",'Checkout Log'!C290)</f>
        <v/>
      </c>
      <c r="C319" s="13" t="str">
        <f aca="false">IF('Checkout Log'!L290&lt;&gt;"Checked Out","",'Checkout Log'!D290)</f>
        <v/>
      </c>
      <c r="D319" s="13" t="str">
        <f aca="false">IF('Checkout Log'!L290&lt;&gt;"Checked Out","",'Checkout Log'!E290)</f>
        <v/>
      </c>
      <c r="E319" s="14" t="str">
        <f aca="false">IF('Checkout Log'!L290&lt;&gt;"Checked Out","",'Checkout Log'!H290)</f>
        <v/>
      </c>
      <c r="F319" s="14" t="str">
        <f aca="false">IF('Checkout Log'!L290&lt;&gt;"Checked Out","",'Checkout Log'!I290)</f>
        <v/>
      </c>
    </row>
    <row r="320" customFormat="false" ht="15" hidden="false" customHeight="false" outlineLevel="0" collapsed="false">
      <c r="A320" s="11" t="str">
        <f aca="false">IF('Checkout Log'!$L291&lt;&gt;"Checked Out","",'Checkout Log'!$A291)</f>
        <v/>
      </c>
      <c r="B320" s="11" t="str">
        <f aca="false">IF('Checkout Log'!L291&lt;&gt;"Checked Out","",'Checkout Log'!C291)</f>
        <v/>
      </c>
      <c r="C320" s="11" t="str">
        <f aca="false">IF('Checkout Log'!L291&lt;&gt;"Checked Out","",'Checkout Log'!D291)</f>
        <v/>
      </c>
      <c r="D320" s="11" t="str">
        <f aca="false">IF('Checkout Log'!L291&lt;&gt;"Checked Out","",'Checkout Log'!E291)</f>
        <v/>
      </c>
      <c r="E320" s="12" t="str">
        <f aca="false">IF('Checkout Log'!L291&lt;&gt;"Checked Out","",'Checkout Log'!H291)</f>
        <v/>
      </c>
      <c r="F320" s="12" t="str">
        <f aca="false">IF('Checkout Log'!L291&lt;&gt;"Checked Out","",'Checkout Log'!I291)</f>
        <v/>
      </c>
    </row>
    <row r="321" customFormat="false" ht="15" hidden="false" customHeight="false" outlineLevel="0" collapsed="false">
      <c r="A321" s="13" t="str">
        <f aca="false">IF('Checkout Log'!$L292&lt;&gt;"Checked Out","",'Checkout Log'!$A292)</f>
        <v/>
      </c>
      <c r="B321" s="13" t="str">
        <f aca="false">IF('Checkout Log'!L292&lt;&gt;"Checked Out","",'Checkout Log'!C292)</f>
        <v/>
      </c>
      <c r="C321" s="13" t="str">
        <f aca="false">IF('Checkout Log'!L292&lt;&gt;"Checked Out","",'Checkout Log'!D292)</f>
        <v/>
      </c>
      <c r="D321" s="13" t="str">
        <f aca="false">IF('Checkout Log'!L292&lt;&gt;"Checked Out","",'Checkout Log'!E292)</f>
        <v/>
      </c>
      <c r="E321" s="14" t="str">
        <f aca="false">IF('Checkout Log'!L292&lt;&gt;"Checked Out","",'Checkout Log'!H292)</f>
        <v/>
      </c>
      <c r="F321" s="14" t="str">
        <f aca="false">IF('Checkout Log'!L292&lt;&gt;"Checked Out","",'Checkout Log'!I292)</f>
        <v/>
      </c>
    </row>
    <row r="322" customFormat="false" ht="15" hidden="false" customHeight="false" outlineLevel="0" collapsed="false">
      <c r="A322" s="11" t="str">
        <f aca="false">IF('Checkout Log'!$L293&lt;&gt;"Checked Out","",'Checkout Log'!$A293)</f>
        <v/>
      </c>
      <c r="B322" s="11" t="str">
        <f aca="false">IF('Checkout Log'!L293&lt;&gt;"Checked Out","",'Checkout Log'!C293)</f>
        <v/>
      </c>
      <c r="C322" s="11" t="str">
        <f aca="false">IF('Checkout Log'!L293&lt;&gt;"Checked Out","",'Checkout Log'!D293)</f>
        <v/>
      </c>
      <c r="D322" s="11" t="str">
        <f aca="false">IF('Checkout Log'!L293&lt;&gt;"Checked Out","",'Checkout Log'!E293)</f>
        <v/>
      </c>
      <c r="E322" s="12" t="str">
        <f aca="false">IF('Checkout Log'!L293&lt;&gt;"Checked Out","",'Checkout Log'!H293)</f>
        <v/>
      </c>
      <c r="F322" s="12" t="str">
        <f aca="false">IF('Checkout Log'!L293&lt;&gt;"Checked Out","",'Checkout Log'!I293)</f>
        <v/>
      </c>
    </row>
    <row r="323" customFormat="false" ht="15" hidden="false" customHeight="false" outlineLevel="0" collapsed="false">
      <c r="A323" s="13" t="str">
        <f aca="false">IF('Checkout Log'!$L294&lt;&gt;"Checked Out","",'Checkout Log'!$A294)</f>
        <v/>
      </c>
      <c r="B323" s="13" t="str">
        <f aca="false">IF('Checkout Log'!L294&lt;&gt;"Checked Out","",'Checkout Log'!C294)</f>
        <v/>
      </c>
      <c r="C323" s="13" t="str">
        <f aca="false">IF('Checkout Log'!L294&lt;&gt;"Checked Out","",'Checkout Log'!D294)</f>
        <v/>
      </c>
      <c r="D323" s="13" t="str">
        <f aca="false">IF('Checkout Log'!L294&lt;&gt;"Checked Out","",'Checkout Log'!E294)</f>
        <v/>
      </c>
      <c r="E323" s="14" t="str">
        <f aca="false">IF('Checkout Log'!L294&lt;&gt;"Checked Out","",'Checkout Log'!H294)</f>
        <v/>
      </c>
      <c r="F323" s="14" t="str">
        <f aca="false">IF('Checkout Log'!L294&lt;&gt;"Checked Out","",'Checkout Log'!I294)</f>
        <v/>
      </c>
    </row>
    <row r="324" customFormat="false" ht="15" hidden="false" customHeight="false" outlineLevel="0" collapsed="false">
      <c r="A324" s="11" t="str">
        <f aca="false">IF('Checkout Log'!$L295&lt;&gt;"Checked Out","",'Checkout Log'!$A295)</f>
        <v/>
      </c>
      <c r="B324" s="11" t="str">
        <f aca="false">IF('Checkout Log'!L295&lt;&gt;"Checked Out","",'Checkout Log'!C295)</f>
        <v/>
      </c>
      <c r="C324" s="11" t="str">
        <f aca="false">IF('Checkout Log'!L295&lt;&gt;"Checked Out","",'Checkout Log'!D295)</f>
        <v/>
      </c>
      <c r="D324" s="11" t="str">
        <f aca="false">IF('Checkout Log'!L295&lt;&gt;"Checked Out","",'Checkout Log'!E295)</f>
        <v/>
      </c>
      <c r="E324" s="12" t="str">
        <f aca="false">IF('Checkout Log'!L295&lt;&gt;"Checked Out","",'Checkout Log'!H295)</f>
        <v/>
      </c>
      <c r="F324" s="12" t="str">
        <f aca="false">IF('Checkout Log'!L295&lt;&gt;"Checked Out","",'Checkout Log'!I295)</f>
        <v/>
      </c>
    </row>
    <row r="325" customFormat="false" ht="15" hidden="false" customHeight="false" outlineLevel="0" collapsed="false">
      <c r="A325" s="13" t="str">
        <f aca="false">IF('Checkout Log'!$L296&lt;&gt;"Checked Out","",'Checkout Log'!$A296)</f>
        <v/>
      </c>
      <c r="B325" s="13" t="str">
        <f aca="false">IF('Checkout Log'!L296&lt;&gt;"Checked Out","",'Checkout Log'!C296)</f>
        <v/>
      </c>
      <c r="C325" s="13" t="str">
        <f aca="false">IF('Checkout Log'!L296&lt;&gt;"Checked Out","",'Checkout Log'!D296)</f>
        <v/>
      </c>
      <c r="D325" s="13" t="str">
        <f aca="false">IF('Checkout Log'!L296&lt;&gt;"Checked Out","",'Checkout Log'!E296)</f>
        <v/>
      </c>
      <c r="E325" s="14" t="str">
        <f aca="false">IF('Checkout Log'!L296&lt;&gt;"Checked Out","",'Checkout Log'!H296)</f>
        <v/>
      </c>
      <c r="F325" s="14" t="str">
        <f aca="false">IF('Checkout Log'!L296&lt;&gt;"Checked Out","",'Checkout Log'!I296)</f>
        <v/>
      </c>
    </row>
    <row r="326" customFormat="false" ht="15" hidden="false" customHeight="false" outlineLevel="0" collapsed="false">
      <c r="A326" s="11" t="str">
        <f aca="false">IF('Checkout Log'!$L297&lt;&gt;"Checked Out","",'Checkout Log'!$A297)</f>
        <v/>
      </c>
      <c r="B326" s="11" t="str">
        <f aca="false">IF('Checkout Log'!L297&lt;&gt;"Checked Out","",'Checkout Log'!C297)</f>
        <v/>
      </c>
      <c r="C326" s="11" t="str">
        <f aca="false">IF('Checkout Log'!L297&lt;&gt;"Checked Out","",'Checkout Log'!D297)</f>
        <v/>
      </c>
      <c r="D326" s="11" t="str">
        <f aca="false">IF('Checkout Log'!L297&lt;&gt;"Checked Out","",'Checkout Log'!E297)</f>
        <v/>
      </c>
      <c r="E326" s="12" t="str">
        <f aca="false">IF('Checkout Log'!L297&lt;&gt;"Checked Out","",'Checkout Log'!H297)</f>
        <v/>
      </c>
      <c r="F326" s="12" t="str">
        <f aca="false">IF('Checkout Log'!L297&lt;&gt;"Checked Out","",'Checkout Log'!I297)</f>
        <v/>
      </c>
    </row>
    <row r="327" customFormat="false" ht="15" hidden="false" customHeight="false" outlineLevel="0" collapsed="false">
      <c r="A327" s="13" t="str">
        <f aca="false">IF('Checkout Log'!$L298&lt;&gt;"Checked Out","",'Checkout Log'!$A298)</f>
        <v/>
      </c>
      <c r="B327" s="13" t="str">
        <f aca="false">IF('Checkout Log'!L298&lt;&gt;"Checked Out","",'Checkout Log'!C298)</f>
        <v/>
      </c>
      <c r="C327" s="13" t="str">
        <f aca="false">IF('Checkout Log'!L298&lt;&gt;"Checked Out","",'Checkout Log'!D298)</f>
        <v/>
      </c>
      <c r="D327" s="13" t="str">
        <f aca="false">IF('Checkout Log'!L298&lt;&gt;"Checked Out","",'Checkout Log'!E298)</f>
        <v/>
      </c>
      <c r="E327" s="14" t="str">
        <f aca="false">IF('Checkout Log'!L298&lt;&gt;"Checked Out","",'Checkout Log'!H298)</f>
        <v/>
      </c>
      <c r="F327" s="14" t="str">
        <f aca="false">IF('Checkout Log'!L298&lt;&gt;"Checked Out","",'Checkout Log'!I298)</f>
        <v/>
      </c>
    </row>
    <row r="328" customFormat="false" ht="15" hidden="false" customHeight="false" outlineLevel="0" collapsed="false">
      <c r="A328" s="11" t="str">
        <f aca="false">IF('Checkout Log'!$L299&lt;&gt;"Checked Out","",'Checkout Log'!$A299)</f>
        <v/>
      </c>
      <c r="B328" s="11" t="str">
        <f aca="false">IF('Checkout Log'!L299&lt;&gt;"Checked Out","",'Checkout Log'!C299)</f>
        <v/>
      </c>
      <c r="C328" s="11" t="str">
        <f aca="false">IF('Checkout Log'!L299&lt;&gt;"Checked Out","",'Checkout Log'!D299)</f>
        <v/>
      </c>
      <c r="D328" s="11" t="str">
        <f aca="false">IF('Checkout Log'!L299&lt;&gt;"Checked Out","",'Checkout Log'!E299)</f>
        <v/>
      </c>
      <c r="E328" s="12" t="str">
        <f aca="false">IF('Checkout Log'!L299&lt;&gt;"Checked Out","",'Checkout Log'!H299)</f>
        <v/>
      </c>
      <c r="F328" s="12" t="str">
        <f aca="false">IF('Checkout Log'!L299&lt;&gt;"Checked Out","",'Checkout Log'!I299)</f>
        <v/>
      </c>
    </row>
    <row r="329" customFormat="false" ht="15" hidden="false" customHeight="false" outlineLevel="0" collapsed="false">
      <c r="A329" s="13" t="str">
        <f aca="false">IF('Checkout Log'!$L300&lt;&gt;"Checked Out","",'Checkout Log'!$A300)</f>
        <v/>
      </c>
      <c r="B329" s="13" t="str">
        <f aca="false">IF('Checkout Log'!L300&lt;&gt;"Checked Out","",'Checkout Log'!C300)</f>
        <v/>
      </c>
      <c r="C329" s="13" t="str">
        <f aca="false">IF('Checkout Log'!L300&lt;&gt;"Checked Out","",'Checkout Log'!D300)</f>
        <v/>
      </c>
      <c r="D329" s="13" t="str">
        <f aca="false">IF('Checkout Log'!L300&lt;&gt;"Checked Out","",'Checkout Log'!E300)</f>
        <v/>
      </c>
      <c r="E329" s="14" t="str">
        <f aca="false">IF('Checkout Log'!L300&lt;&gt;"Checked Out","",'Checkout Log'!H300)</f>
        <v/>
      </c>
      <c r="F329" s="14" t="str">
        <f aca="false">IF('Checkout Log'!L300&lt;&gt;"Checked Out","",'Checkout Log'!I300)</f>
        <v/>
      </c>
    </row>
    <row r="330" customFormat="false" ht="15" hidden="false" customHeight="false" outlineLevel="0" collapsed="false">
      <c r="A330" s="11" t="str">
        <f aca="false">IF('Checkout Log'!$L301&lt;&gt;"Checked Out","",'Checkout Log'!$A301)</f>
        <v/>
      </c>
      <c r="B330" s="11" t="str">
        <f aca="false">IF('Checkout Log'!L301&lt;&gt;"Checked Out","",'Checkout Log'!C301)</f>
        <v/>
      </c>
      <c r="C330" s="11" t="str">
        <f aca="false">IF('Checkout Log'!L301&lt;&gt;"Checked Out","",'Checkout Log'!D301)</f>
        <v/>
      </c>
      <c r="D330" s="11" t="str">
        <f aca="false">IF('Checkout Log'!L301&lt;&gt;"Checked Out","",'Checkout Log'!E301)</f>
        <v/>
      </c>
      <c r="E330" s="12" t="str">
        <f aca="false">IF('Checkout Log'!L301&lt;&gt;"Checked Out","",'Checkout Log'!H301)</f>
        <v/>
      </c>
      <c r="F330" s="12" t="str">
        <f aca="false">IF('Checkout Log'!L301&lt;&gt;"Checked Out","",'Checkout Log'!I301)</f>
        <v/>
      </c>
    </row>
    <row r="331" customFormat="false" ht="15" hidden="false" customHeight="false" outlineLevel="0" collapsed="false">
      <c r="A331" s="13" t="str">
        <f aca="false">IF('Checkout Log'!$L302&lt;&gt;"Checked Out","",'Checkout Log'!$A302)</f>
        <v/>
      </c>
      <c r="B331" s="13" t="str">
        <f aca="false">IF('Checkout Log'!L302&lt;&gt;"Checked Out","",'Checkout Log'!C302)</f>
        <v/>
      </c>
      <c r="C331" s="13" t="str">
        <f aca="false">IF('Checkout Log'!L302&lt;&gt;"Checked Out","",'Checkout Log'!D302)</f>
        <v/>
      </c>
      <c r="D331" s="13" t="str">
        <f aca="false">IF('Checkout Log'!L302&lt;&gt;"Checked Out","",'Checkout Log'!E302)</f>
        <v/>
      </c>
      <c r="E331" s="14" t="str">
        <f aca="false">IF('Checkout Log'!L302&lt;&gt;"Checked Out","",'Checkout Log'!H302)</f>
        <v/>
      </c>
      <c r="F331" s="14" t="str">
        <f aca="false">IF('Checkout Log'!L302&lt;&gt;"Checked Out","",'Checkout Log'!I302)</f>
        <v/>
      </c>
    </row>
  </sheetData>
  <mergeCells count="4">
    <mergeCell ref="A1:F1"/>
    <mergeCell ref="A2:F2"/>
    <mergeCell ref="A7:F7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7" activeCellId="0" sqref="A27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1" width="36.62"/>
    <col collapsed="false" customWidth="true" hidden="false" outlineLevel="0" max="3" min="3" style="1" width="28.98"/>
    <col collapsed="false" customWidth="true" hidden="false" outlineLevel="0" max="4" min="4" style="1" width="25.8"/>
    <col collapsed="false" customWidth="true" hidden="false" outlineLevel="0" max="5" min="5" style="1" width="34.31"/>
  </cols>
  <sheetData>
    <row r="1" customFormat="false" ht="30" hidden="false" customHeight="true" outlineLevel="0" collapsed="false">
      <c r="A1" s="15" t="s">
        <v>24</v>
      </c>
      <c r="B1" s="15"/>
      <c r="C1" s="15"/>
      <c r="D1" s="15"/>
      <c r="E1" s="15"/>
    </row>
    <row r="2" customFormat="false" ht="15" hidden="false" customHeight="false" outlineLevel="0" collapsed="false">
      <c r="A2" s="7" t="s">
        <v>25</v>
      </c>
      <c r="B2" s="7" t="s">
        <v>10</v>
      </c>
      <c r="C2" s="7" t="s">
        <v>11</v>
      </c>
      <c r="D2" s="7" t="s">
        <v>26</v>
      </c>
      <c r="E2" s="7" t="s">
        <v>27</v>
      </c>
    </row>
    <row r="3" customFormat="false" ht="15" hidden="false" customHeight="false" outlineLevel="0" collapsed="false">
      <c r="A3" s="8" t="s">
        <v>28</v>
      </c>
      <c r="B3" s="8" t="s">
        <v>29</v>
      </c>
      <c r="C3" s="8">
        <v>5</v>
      </c>
      <c r="D3" s="16" t="s">
        <v>30</v>
      </c>
      <c r="E3" s="13"/>
    </row>
    <row r="4" customFormat="false" ht="15" hidden="false" customHeight="false" outlineLevel="0" collapsed="false">
      <c r="A4" s="9" t="s">
        <v>31</v>
      </c>
      <c r="B4" s="9" t="s">
        <v>32</v>
      </c>
      <c r="C4" s="9">
        <v>5</v>
      </c>
      <c r="D4" s="11" t="s">
        <v>33</v>
      </c>
      <c r="E4" s="11"/>
    </row>
    <row r="5" customFormat="false" ht="15" hidden="false" customHeight="false" outlineLevel="0" collapsed="false">
      <c r="A5" s="8" t="s">
        <v>34</v>
      </c>
      <c r="B5" s="8" t="s">
        <v>32</v>
      </c>
      <c r="C5" s="8">
        <v>9</v>
      </c>
      <c r="D5" s="13" t="s">
        <v>33</v>
      </c>
      <c r="E5" s="13"/>
    </row>
    <row r="6" customFormat="false" ht="15" hidden="false" customHeight="false" outlineLevel="0" collapsed="false">
      <c r="A6" s="9" t="s">
        <v>35</v>
      </c>
      <c r="B6" s="9" t="s">
        <v>36</v>
      </c>
      <c r="C6" s="9">
        <v>5</v>
      </c>
      <c r="D6" s="11" t="s">
        <v>33</v>
      </c>
      <c r="E6" s="11"/>
    </row>
    <row r="7" customFormat="false" ht="15" hidden="false" customHeight="false" outlineLevel="0" collapsed="false">
      <c r="A7" s="8" t="s">
        <v>37</v>
      </c>
      <c r="B7" s="8" t="s">
        <v>38</v>
      </c>
      <c r="C7" s="8">
        <v>4</v>
      </c>
      <c r="D7" s="13" t="s">
        <v>33</v>
      </c>
      <c r="E7" s="13"/>
    </row>
    <row r="8" customFormat="false" ht="15" hidden="false" customHeight="false" outlineLevel="0" collapsed="false">
      <c r="A8" s="9" t="s">
        <v>39</v>
      </c>
      <c r="B8" s="9" t="s">
        <v>40</v>
      </c>
      <c r="C8" s="9">
        <v>4</v>
      </c>
      <c r="D8" s="11" t="s">
        <v>33</v>
      </c>
      <c r="E8" s="11"/>
    </row>
    <row r="9" customFormat="false" ht="15" hidden="false" customHeight="false" outlineLevel="0" collapsed="false">
      <c r="A9" s="8" t="s">
        <v>41</v>
      </c>
      <c r="B9" s="8" t="s">
        <v>42</v>
      </c>
      <c r="C9" s="8">
        <v>5</v>
      </c>
      <c r="D9" s="13" t="s">
        <v>33</v>
      </c>
      <c r="E9" s="13"/>
    </row>
    <row r="10" customFormat="false" ht="15" hidden="false" customHeight="false" outlineLevel="0" collapsed="false">
      <c r="A10" s="9" t="s">
        <v>43</v>
      </c>
      <c r="B10" s="9" t="s">
        <v>32</v>
      </c>
      <c r="C10" s="9">
        <v>5</v>
      </c>
      <c r="D10" s="11" t="s">
        <v>33</v>
      </c>
      <c r="E10" s="11"/>
    </row>
    <row r="11" customFormat="false" ht="15" hidden="false" customHeight="false" outlineLevel="0" collapsed="false">
      <c r="A11" s="8" t="s">
        <v>44</v>
      </c>
      <c r="B11" s="8" t="s">
        <v>36</v>
      </c>
      <c r="C11" s="8">
        <v>5</v>
      </c>
      <c r="D11" s="13" t="s">
        <v>33</v>
      </c>
      <c r="E11" s="13"/>
    </row>
    <row r="12" customFormat="false" ht="15" hidden="false" customHeight="false" outlineLevel="0" collapsed="false">
      <c r="A12" s="9" t="s">
        <v>45</v>
      </c>
      <c r="B12" s="9" t="s">
        <v>36</v>
      </c>
      <c r="C12" s="9">
        <v>5</v>
      </c>
      <c r="D12" s="11" t="s">
        <v>33</v>
      </c>
      <c r="E12" s="11"/>
    </row>
    <row r="13" customFormat="false" ht="15" hidden="false" customHeight="false" outlineLevel="0" collapsed="false">
      <c r="A13" s="8" t="s">
        <v>46</v>
      </c>
      <c r="B13" s="8" t="s">
        <v>38</v>
      </c>
      <c r="C13" s="8">
        <v>5</v>
      </c>
      <c r="D13" s="13" t="s">
        <v>33</v>
      </c>
      <c r="E13" s="13"/>
    </row>
    <row r="14" customFormat="false" ht="15" hidden="false" customHeight="false" outlineLevel="0" collapsed="false">
      <c r="A14" s="9" t="s">
        <v>47</v>
      </c>
      <c r="B14" s="9" t="s">
        <v>40</v>
      </c>
      <c r="C14" s="9">
        <v>4</v>
      </c>
      <c r="D14" s="11" t="s">
        <v>33</v>
      </c>
      <c r="E14" s="11"/>
    </row>
    <row r="15" customFormat="false" ht="15" hidden="false" customHeight="false" outlineLevel="0" collapsed="false">
      <c r="A15" s="8" t="s">
        <v>48</v>
      </c>
      <c r="B15" s="8" t="s">
        <v>49</v>
      </c>
      <c r="C15" s="8">
        <v>5</v>
      </c>
      <c r="D15" s="13" t="s">
        <v>33</v>
      </c>
      <c r="E15" s="13"/>
    </row>
    <row r="16" customFormat="false" ht="15" hidden="false" customHeight="false" outlineLevel="0" collapsed="false">
      <c r="A16" s="9" t="s">
        <v>50</v>
      </c>
      <c r="B16" s="9" t="s">
        <v>51</v>
      </c>
      <c r="C16" s="9">
        <v>5</v>
      </c>
      <c r="D16" s="11" t="s">
        <v>33</v>
      </c>
      <c r="E16" s="11"/>
    </row>
    <row r="17" customFormat="false" ht="15" hidden="false" customHeight="false" outlineLevel="0" collapsed="false">
      <c r="A17" s="8" t="s">
        <v>52</v>
      </c>
      <c r="B17" s="8"/>
      <c r="C17" s="8">
        <v>5</v>
      </c>
      <c r="D17" s="13" t="s">
        <v>33</v>
      </c>
      <c r="E17" s="13"/>
    </row>
    <row r="18" customFormat="false" ht="15" hidden="false" customHeight="false" outlineLevel="0" collapsed="false">
      <c r="A18" s="9" t="s">
        <v>53</v>
      </c>
      <c r="B18" s="9"/>
      <c r="C18" s="9">
        <v>4</v>
      </c>
      <c r="D18" s="11" t="s">
        <v>33</v>
      </c>
      <c r="E18" s="11"/>
    </row>
    <row r="19" customFormat="false" ht="15" hidden="false" customHeight="false" outlineLevel="0" collapsed="false">
      <c r="A19" s="8"/>
      <c r="B19" s="8"/>
      <c r="C19" s="8"/>
      <c r="D19" s="13"/>
      <c r="E19" s="13"/>
    </row>
    <row r="20" customFormat="false" ht="15" hidden="false" customHeight="false" outlineLevel="0" collapsed="false">
      <c r="A20" s="9"/>
      <c r="B20" s="9"/>
      <c r="C20" s="11"/>
      <c r="D20" s="11"/>
      <c r="E20" s="11"/>
    </row>
    <row r="21" customFormat="false" ht="15" hidden="false" customHeight="false" outlineLevel="0" collapsed="false">
      <c r="A21" s="8"/>
      <c r="B21" s="8"/>
      <c r="C21" s="13"/>
      <c r="D21" s="13"/>
      <c r="E21" s="13"/>
    </row>
    <row r="22" customFormat="false" ht="15" hidden="false" customHeight="false" outlineLevel="0" collapsed="false">
      <c r="A22" s="9"/>
      <c r="B22" s="9"/>
      <c r="C22" s="11"/>
      <c r="D22" s="11"/>
      <c r="E22" s="11"/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B3:B22" type="list">
      <formula1>"Tools,Boxes,Projects,PC Periphery,ELE stuff,Misc,Microcontrollers,cars"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2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40" activeCellId="0" sqref="A240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51.89"/>
    <col collapsed="false" customWidth="true" hidden="false" outlineLevel="0" max="2" min="2" style="1" width="35.89"/>
    <col collapsed="false" customWidth="true" hidden="false" outlineLevel="0" max="3" min="3" style="1" width="28.98"/>
    <col collapsed="false" customWidth="true" hidden="false" outlineLevel="0" max="4" min="4" style="1" width="29.26"/>
    <col collapsed="false" customWidth="true" hidden="false" outlineLevel="0" max="5" min="5" style="1" width="34.31"/>
  </cols>
  <sheetData>
    <row r="1" customFormat="false" ht="30" hidden="false" customHeight="true" outlineLevel="0" collapsed="false">
      <c r="A1" s="15" t="s">
        <v>54</v>
      </c>
      <c r="B1" s="15"/>
      <c r="C1" s="15"/>
      <c r="D1" s="15"/>
      <c r="E1" s="15"/>
    </row>
    <row r="2" customFormat="false" ht="15" hidden="false" customHeight="false" outlineLevel="0" collapsed="false">
      <c r="A2" s="7" t="s">
        <v>55</v>
      </c>
      <c r="B2" s="7" t="s">
        <v>9</v>
      </c>
      <c r="C2" s="7" t="s">
        <v>56</v>
      </c>
      <c r="D2" s="7" t="s">
        <v>57</v>
      </c>
      <c r="E2" s="7" t="s">
        <v>27</v>
      </c>
    </row>
    <row r="3" customFormat="false" ht="15" hidden="false" customHeight="false" outlineLevel="0" collapsed="false">
      <c r="A3" s="8" t="s">
        <v>58</v>
      </c>
      <c r="B3" s="8" t="s">
        <v>28</v>
      </c>
      <c r="C3" s="8">
        <v>1</v>
      </c>
      <c r="D3" s="8">
        <v>1</v>
      </c>
      <c r="E3" s="8"/>
    </row>
    <row r="4" customFormat="false" ht="15" hidden="false" customHeight="false" outlineLevel="0" collapsed="false">
      <c r="A4" s="9" t="s">
        <v>59</v>
      </c>
      <c r="B4" s="9" t="s">
        <v>28</v>
      </c>
      <c r="C4" s="9">
        <v>1</v>
      </c>
      <c r="D4" s="9">
        <v>2</v>
      </c>
      <c r="E4" s="9"/>
    </row>
    <row r="5" customFormat="false" ht="15" hidden="false" customHeight="false" outlineLevel="0" collapsed="false">
      <c r="A5" s="8" t="s">
        <v>60</v>
      </c>
      <c r="B5" s="8" t="s">
        <v>28</v>
      </c>
      <c r="C5" s="8">
        <v>1</v>
      </c>
      <c r="D5" s="8">
        <v>3</v>
      </c>
      <c r="E5" s="8"/>
    </row>
    <row r="6" customFormat="false" ht="15" hidden="false" customHeight="false" outlineLevel="0" collapsed="false">
      <c r="A6" s="9" t="s">
        <v>61</v>
      </c>
      <c r="B6" s="9" t="s">
        <v>28</v>
      </c>
      <c r="C6" s="9">
        <v>1</v>
      </c>
      <c r="D6" s="9">
        <v>4</v>
      </c>
      <c r="E6" s="9"/>
    </row>
    <row r="7" customFormat="false" ht="15" hidden="false" customHeight="false" outlineLevel="0" collapsed="false">
      <c r="A7" s="8" t="s">
        <v>62</v>
      </c>
      <c r="B7" s="8" t="s">
        <v>28</v>
      </c>
      <c r="C7" s="8">
        <v>2</v>
      </c>
      <c r="D7" s="8">
        <v>1</v>
      </c>
      <c r="E7" s="8"/>
    </row>
    <row r="8" customFormat="false" ht="15" hidden="false" customHeight="false" outlineLevel="0" collapsed="false">
      <c r="A8" s="9" t="s">
        <v>63</v>
      </c>
      <c r="B8" s="9" t="s">
        <v>28</v>
      </c>
      <c r="C8" s="9">
        <v>2</v>
      </c>
      <c r="D8" s="9">
        <v>2</v>
      </c>
      <c r="E8" s="9"/>
    </row>
    <row r="9" customFormat="false" ht="15" hidden="false" customHeight="false" outlineLevel="0" collapsed="false">
      <c r="A9" s="8" t="s">
        <v>64</v>
      </c>
      <c r="B9" s="8" t="s">
        <v>28</v>
      </c>
      <c r="C9" s="8">
        <v>2</v>
      </c>
      <c r="D9" s="8">
        <v>3</v>
      </c>
      <c r="E9" s="8"/>
    </row>
    <row r="10" customFormat="false" ht="15" hidden="false" customHeight="false" outlineLevel="0" collapsed="false">
      <c r="A10" s="9" t="s">
        <v>65</v>
      </c>
      <c r="B10" s="9" t="s">
        <v>28</v>
      </c>
      <c r="C10" s="9">
        <v>2</v>
      </c>
      <c r="D10" s="9">
        <v>4</v>
      </c>
      <c r="E10" s="9"/>
    </row>
    <row r="11" customFormat="false" ht="15" hidden="false" customHeight="false" outlineLevel="0" collapsed="false">
      <c r="A11" s="8" t="s">
        <v>66</v>
      </c>
      <c r="B11" s="8" t="s">
        <v>28</v>
      </c>
      <c r="C11" s="8">
        <v>3</v>
      </c>
      <c r="D11" s="8">
        <v>1</v>
      </c>
      <c r="E11" s="8"/>
    </row>
    <row r="12" customFormat="false" ht="15" hidden="false" customHeight="false" outlineLevel="0" collapsed="false">
      <c r="A12" s="9" t="s">
        <v>67</v>
      </c>
      <c r="B12" s="9" t="s">
        <v>28</v>
      </c>
      <c r="C12" s="9">
        <v>3</v>
      </c>
      <c r="D12" s="9">
        <v>2</v>
      </c>
      <c r="E12" s="9"/>
    </row>
    <row r="13" customFormat="false" ht="15" hidden="false" customHeight="false" outlineLevel="0" collapsed="false">
      <c r="A13" s="8" t="s">
        <v>68</v>
      </c>
      <c r="B13" s="8" t="s">
        <v>28</v>
      </c>
      <c r="C13" s="8">
        <v>3</v>
      </c>
      <c r="D13" s="8">
        <v>3</v>
      </c>
      <c r="E13" s="8"/>
    </row>
    <row r="14" customFormat="false" ht="15" hidden="false" customHeight="false" outlineLevel="0" collapsed="false">
      <c r="A14" s="9" t="s">
        <v>69</v>
      </c>
      <c r="B14" s="9" t="s">
        <v>28</v>
      </c>
      <c r="C14" s="9">
        <v>3</v>
      </c>
      <c r="D14" s="9">
        <v>4</v>
      </c>
      <c r="E14" s="9"/>
    </row>
    <row r="15" customFormat="false" ht="15" hidden="false" customHeight="false" outlineLevel="0" collapsed="false">
      <c r="A15" s="8" t="s">
        <v>70</v>
      </c>
      <c r="B15" s="8" t="s">
        <v>28</v>
      </c>
      <c r="C15" s="8">
        <v>4</v>
      </c>
      <c r="D15" s="8">
        <v>1</v>
      </c>
      <c r="E15" s="8"/>
    </row>
    <row r="16" customFormat="false" ht="15" hidden="false" customHeight="false" outlineLevel="0" collapsed="false">
      <c r="A16" s="9" t="s">
        <v>71</v>
      </c>
      <c r="B16" s="9" t="s">
        <v>28</v>
      </c>
      <c r="C16" s="9">
        <v>4</v>
      </c>
      <c r="D16" s="9">
        <v>2</v>
      </c>
      <c r="E16" s="9"/>
    </row>
    <row r="17" customFormat="false" ht="15" hidden="false" customHeight="false" outlineLevel="0" collapsed="false">
      <c r="A17" s="8" t="s">
        <v>72</v>
      </c>
      <c r="B17" s="8" t="s">
        <v>28</v>
      </c>
      <c r="C17" s="8">
        <v>4</v>
      </c>
      <c r="D17" s="8">
        <v>3</v>
      </c>
      <c r="E17" s="8"/>
    </row>
    <row r="18" customFormat="false" ht="15" hidden="false" customHeight="false" outlineLevel="0" collapsed="false">
      <c r="A18" s="9" t="s">
        <v>73</v>
      </c>
      <c r="B18" s="9" t="s">
        <v>28</v>
      </c>
      <c r="C18" s="9">
        <v>4</v>
      </c>
      <c r="D18" s="9">
        <v>4</v>
      </c>
      <c r="E18" s="9"/>
    </row>
    <row r="19" customFormat="false" ht="15" hidden="false" customHeight="false" outlineLevel="0" collapsed="false">
      <c r="A19" s="8" t="s">
        <v>74</v>
      </c>
      <c r="B19" s="8" t="s">
        <v>28</v>
      </c>
      <c r="C19" s="8">
        <v>5</v>
      </c>
      <c r="D19" s="8">
        <v>1</v>
      </c>
      <c r="E19" s="8"/>
    </row>
    <row r="20" customFormat="false" ht="15" hidden="false" customHeight="false" outlineLevel="0" collapsed="false">
      <c r="A20" s="9" t="s">
        <v>75</v>
      </c>
      <c r="B20" s="9" t="s">
        <v>28</v>
      </c>
      <c r="C20" s="9">
        <v>5</v>
      </c>
      <c r="D20" s="9">
        <v>3</v>
      </c>
      <c r="E20" s="9"/>
    </row>
    <row r="21" customFormat="false" ht="15" hidden="false" customHeight="false" outlineLevel="0" collapsed="false">
      <c r="A21" s="8" t="s">
        <v>76</v>
      </c>
      <c r="B21" s="8" t="s">
        <v>31</v>
      </c>
      <c r="C21" s="8">
        <v>1</v>
      </c>
      <c r="D21" s="8">
        <v>1</v>
      </c>
      <c r="E21" s="8"/>
    </row>
    <row r="22" customFormat="false" ht="15" hidden="false" customHeight="false" outlineLevel="0" collapsed="false">
      <c r="A22" s="9" t="s">
        <v>77</v>
      </c>
      <c r="B22" s="9" t="s">
        <v>31</v>
      </c>
      <c r="C22" s="9">
        <v>1</v>
      </c>
      <c r="D22" s="9">
        <v>2</v>
      </c>
      <c r="E22" s="9"/>
    </row>
    <row r="23" customFormat="false" ht="15" hidden="false" customHeight="false" outlineLevel="0" collapsed="false">
      <c r="A23" s="8" t="s">
        <v>78</v>
      </c>
      <c r="B23" s="8" t="s">
        <v>31</v>
      </c>
      <c r="C23" s="8">
        <v>1</v>
      </c>
      <c r="D23" s="8">
        <v>3</v>
      </c>
      <c r="E23" s="8"/>
    </row>
    <row r="24" customFormat="false" ht="15" hidden="false" customHeight="false" outlineLevel="0" collapsed="false">
      <c r="A24" s="9" t="s">
        <v>79</v>
      </c>
      <c r="B24" s="9" t="s">
        <v>31</v>
      </c>
      <c r="C24" s="9">
        <v>1</v>
      </c>
      <c r="D24" s="9">
        <v>4</v>
      </c>
      <c r="E24" s="9"/>
    </row>
    <row r="25" customFormat="false" ht="15" hidden="false" customHeight="false" outlineLevel="0" collapsed="false">
      <c r="A25" s="8" t="s">
        <v>80</v>
      </c>
      <c r="B25" s="8" t="s">
        <v>31</v>
      </c>
      <c r="C25" s="8">
        <v>2</v>
      </c>
      <c r="D25" s="8">
        <v>1</v>
      </c>
      <c r="E25" s="8"/>
    </row>
    <row r="26" customFormat="false" ht="15" hidden="false" customHeight="false" outlineLevel="0" collapsed="false">
      <c r="A26" s="9" t="s">
        <v>81</v>
      </c>
      <c r="B26" s="9" t="s">
        <v>31</v>
      </c>
      <c r="C26" s="9">
        <v>2</v>
      </c>
      <c r="D26" s="9">
        <v>2</v>
      </c>
      <c r="E26" s="9"/>
    </row>
    <row r="27" customFormat="false" ht="15" hidden="false" customHeight="false" outlineLevel="0" collapsed="false">
      <c r="A27" s="8" t="s">
        <v>82</v>
      </c>
      <c r="B27" s="8" t="s">
        <v>31</v>
      </c>
      <c r="C27" s="8">
        <v>2</v>
      </c>
      <c r="D27" s="8">
        <v>3</v>
      </c>
      <c r="E27" s="8"/>
    </row>
    <row r="28" customFormat="false" ht="15" hidden="false" customHeight="false" outlineLevel="0" collapsed="false">
      <c r="A28" s="9" t="s">
        <v>83</v>
      </c>
      <c r="B28" s="9" t="s">
        <v>31</v>
      </c>
      <c r="C28" s="9">
        <v>2</v>
      </c>
      <c r="D28" s="9">
        <v>4</v>
      </c>
      <c r="E28" s="9"/>
    </row>
    <row r="29" customFormat="false" ht="15" hidden="false" customHeight="false" outlineLevel="0" collapsed="false">
      <c r="A29" s="8" t="s">
        <v>84</v>
      </c>
      <c r="B29" s="8" t="s">
        <v>31</v>
      </c>
      <c r="C29" s="8">
        <v>3</v>
      </c>
      <c r="D29" s="8">
        <v>1</v>
      </c>
      <c r="E29" s="8"/>
    </row>
    <row r="30" customFormat="false" ht="15" hidden="false" customHeight="false" outlineLevel="0" collapsed="false">
      <c r="A30" s="9" t="s">
        <v>85</v>
      </c>
      <c r="B30" s="9" t="s">
        <v>31</v>
      </c>
      <c r="C30" s="9">
        <v>3</v>
      </c>
      <c r="D30" s="9">
        <v>2</v>
      </c>
      <c r="E30" s="9"/>
    </row>
    <row r="31" customFormat="false" ht="15" hidden="false" customHeight="false" outlineLevel="0" collapsed="false">
      <c r="A31" s="8" t="s">
        <v>86</v>
      </c>
      <c r="B31" s="8" t="s">
        <v>31</v>
      </c>
      <c r="C31" s="8">
        <v>3</v>
      </c>
      <c r="D31" s="8">
        <v>3</v>
      </c>
      <c r="E31" s="8"/>
    </row>
    <row r="32" customFormat="false" ht="15" hidden="false" customHeight="false" outlineLevel="0" collapsed="false">
      <c r="A32" s="9" t="s">
        <v>87</v>
      </c>
      <c r="B32" s="9" t="s">
        <v>31</v>
      </c>
      <c r="C32" s="9">
        <v>3</v>
      </c>
      <c r="D32" s="9">
        <v>4</v>
      </c>
      <c r="E32" s="9"/>
    </row>
    <row r="33" customFormat="false" ht="15" hidden="false" customHeight="false" outlineLevel="0" collapsed="false">
      <c r="A33" s="8" t="s">
        <v>88</v>
      </c>
      <c r="B33" s="8" t="s">
        <v>31</v>
      </c>
      <c r="C33" s="8">
        <v>4</v>
      </c>
      <c r="D33" s="8">
        <v>1</v>
      </c>
      <c r="E33" s="8"/>
    </row>
    <row r="34" customFormat="false" ht="15" hidden="false" customHeight="false" outlineLevel="0" collapsed="false">
      <c r="A34" s="9" t="s">
        <v>89</v>
      </c>
      <c r="B34" s="9" t="s">
        <v>31</v>
      </c>
      <c r="C34" s="9">
        <v>4</v>
      </c>
      <c r="D34" s="9">
        <v>2</v>
      </c>
      <c r="E34" s="9"/>
    </row>
    <row r="35" customFormat="false" ht="15" hidden="false" customHeight="false" outlineLevel="0" collapsed="false">
      <c r="A35" s="8" t="s">
        <v>90</v>
      </c>
      <c r="B35" s="8"/>
      <c r="C35" s="8">
        <v>4</v>
      </c>
      <c r="D35" s="8">
        <v>3</v>
      </c>
      <c r="E35" s="8"/>
    </row>
    <row r="36" customFormat="false" ht="15" hidden="false" customHeight="false" outlineLevel="0" collapsed="false">
      <c r="A36" s="9" t="s">
        <v>91</v>
      </c>
      <c r="B36" s="9" t="s">
        <v>31</v>
      </c>
      <c r="C36" s="9">
        <v>4</v>
      </c>
      <c r="D36" s="9">
        <v>4</v>
      </c>
      <c r="E36" s="9"/>
    </row>
    <row r="37" customFormat="false" ht="15" hidden="false" customHeight="false" outlineLevel="0" collapsed="false">
      <c r="A37" s="8" t="s">
        <v>92</v>
      </c>
      <c r="B37" s="8" t="s">
        <v>31</v>
      </c>
      <c r="C37" s="8">
        <v>5</v>
      </c>
      <c r="D37" s="8">
        <v>1</v>
      </c>
      <c r="E37" s="8"/>
    </row>
    <row r="38" customFormat="false" ht="15" hidden="false" customHeight="false" outlineLevel="0" collapsed="false">
      <c r="A38" s="9" t="s">
        <v>93</v>
      </c>
      <c r="B38" s="9" t="s">
        <v>31</v>
      </c>
      <c r="C38" s="9">
        <v>5</v>
      </c>
      <c r="D38" s="9">
        <v>2</v>
      </c>
      <c r="E38" s="9"/>
    </row>
    <row r="39" customFormat="false" ht="15" hidden="false" customHeight="false" outlineLevel="0" collapsed="false">
      <c r="A39" s="8" t="s">
        <v>94</v>
      </c>
      <c r="B39" s="8" t="s">
        <v>31</v>
      </c>
      <c r="C39" s="8">
        <v>5</v>
      </c>
      <c r="D39" s="8">
        <v>3</v>
      </c>
      <c r="E39" s="8"/>
    </row>
    <row r="40" customFormat="false" ht="15" hidden="false" customHeight="false" outlineLevel="0" collapsed="false">
      <c r="A40" s="9" t="s">
        <v>95</v>
      </c>
      <c r="B40" s="9" t="s">
        <v>31</v>
      </c>
      <c r="C40" s="9">
        <v>5</v>
      </c>
      <c r="D40" s="9">
        <v>4</v>
      </c>
      <c r="E40" s="9"/>
    </row>
    <row r="41" customFormat="false" ht="15" hidden="false" customHeight="false" outlineLevel="0" collapsed="false">
      <c r="A41" s="8" t="s">
        <v>96</v>
      </c>
      <c r="B41" s="8" t="s">
        <v>35</v>
      </c>
      <c r="C41" s="8">
        <v>1</v>
      </c>
      <c r="D41" s="8">
        <v>1</v>
      </c>
      <c r="E41" s="8"/>
    </row>
    <row r="42" customFormat="false" ht="15" hidden="false" customHeight="false" outlineLevel="0" collapsed="false">
      <c r="A42" s="9" t="s">
        <v>97</v>
      </c>
      <c r="B42" s="9" t="s">
        <v>35</v>
      </c>
      <c r="C42" s="9">
        <v>1</v>
      </c>
      <c r="D42" s="9">
        <v>2</v>
      </c>
      <c r="E42" s="9"/>
    </row>
    <row r="43" customFormat="false" ht="15" hidden="false" customHeight="false" outlineLevel="0" collapsed="false">
      <c r="A43" s="8" t="s">
        <v>98</v>
      </c>
      <c r="B43" s="8" t="s">
        <v>35</v>
      </c>
      <c r="C43" s="8">
        <v>1</v>
      </c>
      <c r="D43" s="8">
        <v>3</v>
      </c>
      <c r="E43" s="8"/>
    </row>
    <row r="44" customFormat="false" ht="15" hidden="false" customHeight="false" outlineLevel="0" collapsed="false">
      <c r="A44" s="9" t="s">
        <v>99</v>
      </c>
      <c r="B44" s="9" t="s">
        <v>35</v>
      </c>
      <c r="C44" s="9">
        <v>1</v>
      </c>
      <c r="D44" s="9">
        <v>4</v>
      </c>
      <c r="E44" s="9"/>
    </row>
    <row r="45" customFormat="false" ht="15" hidden="false" customHeight="false" outlineLevel="0" collapsed="false">
      <c r="A45" s="8" t="s">
        <v>100</v>
      </c>
      <c r="B45" s="8" t="s">
        <v>35</v>
      </c>
      <c r="C45" s="8">
        <v>2</v>
      </c>
      <c r="D45" s="8">
        <v>1</v>
      </c>
      <c r="E45" s="8"/>
    </row>
    <row r="46" customFormat="false" ht="15" hidden="false" customHeight="false" outlineLevel="0" collapsed="false">
      <c r="A46" s="9" t="s">
        <v>101</v>
      </c>
      <c r="B46" s="9" t="s">
        <v>35</v>
      </c>
      <c r="C46" s="9">
        <v>2</v>
      </c>
      <c r="D46" s="9">
        <v>2</v>
      </c>
      <c r="E46" s="9"/>
    </row>
    <row r="47" customFormat="false" ht="15" hidden="false" customHeight="false" outlineLevel="0" collapsed="false">
      <c r="A47" s="8" t="s">
        <v>102</v>
      </c>
      <c r="B47" s="8" t="s">
        <v>35</v>
      </c>
      <c r="C47" s="8">
        <v>2</v>
      </c>
      <c r="D47" s="8">
        <v>3</v>
      </c>
      <c r="E47" s="8"/>
    </row>
    <row r="48" customFormat="false" ht="15" hidden="false" customHeight="false" outlineLevel="0" collapsed="false">
      <c r="A48" s="9" t="s">
        <v>103</v>
      </c>
      <c r="B48" s="9" t="s">
        <v>35</v>
      </c>
      <c r="C48" s="9">
        <v>2</v>
      </c>
      <c r="D48" s="9">
        <v>4</v>
      </c>
      <c r="E48" s="9"/>
    </row>
    <row r="49" customFormat="false" ht="15" hidden="false" customHeight="false" outlineLevel="0" collapsed="false">
      <c r="A49" s="8" t="s">
        <v>104</v>
      </c>
      <c r="B49" s="8" t="s">
        <v>35</v>
      </c>
      <c r="C49" s="8">
        <v>3</v>
      </c>
      <c r="D49" s="8">
        <v>1</v>
      </c>
      <c r="E49" s="8"/>
    </row>
    <row r="50" customFormat="false" ht="15" hidden="false" customHeight="false" outlineLevel="0" collapsed="false">
      <c r="A50" s="9" t="s">
        <v>105</v>
      </c>
      <c r="B50" s="9" t="s">
        <v>35</v>
      </c>
      <c r="C50" s="9">
        <v>3</v>
      </c>
      <c r="D50" s="9">
        <v>2</v>
      </c>
      <c r="E50" s="9"/>
    </row>
    <row r="51" customFormat="false" ht="15" hidden="false" customHeight="false" outlineLevel="0" collapsed="false">
      <c r="A51" s="8" t="s">
        <v>106</v>
      </c>
      <c r="B51" s="8" t="s">
        <v>35</v>
      </c>
      <c r="C51" s="8">
        <v>3</v>
      </c>
      <c r="D51" s="8">
        <v>3</v>
      </c>
      <c r="E51" s="8"/>
    </row>
    <row r="52" customFormat="false" ht="15" hidden="false" customHeight="false" outlineLevel="0" collapsed="false">
      <c r="A52" s="9" t="s">
        <v>107</v>
      </c>
      <c r="B52" s="9" t="s">
        <v>35</v>
      </c>
      <c r="C52" s="9">
        <v>4</v>
      </c>
      <c r="D52" s="9">
        <v>1</v>
      </c>
      <c r="E52" s="9"/>
    </row>
    <row r="53" customFormat="false" ht="15" hidden="false" customHeight="false" outlineLevel="0" collapsed="false">
      <c r="A53" s="8" t="s">
        <v>108</v>
      </c>
      <c r="B53" s="8" t="s">
        <v>35</v>
      </c>
      <c r="C53" s="8">
        <v>5</v>
      </c>
      <c r="D53" s="8">
        <v>1</v>
      </c>
      <c r="E53" s="8"/>
    </row>
    <row r="54" customFormat="false" ht="15" hidden="false" customHeight="false" outlineLevel="0" collapsed="false">
      <c r="A54" s="9" t="s">
        <v>109</v>
      </c>
      <c r="B54" s="9" t="s">
        <v>35</v>
      </c>
      <c r="C54" s="9">
        <v>5</v>
      </c>
      <c r="D54" s="9">
        <v>2</v>
      </c>
      <c r="E54" s="9"/>
    </row>
    <row r="55" customFormat="false" ht="15" hidden="false" customHeight="false" outlineLevel="0" collapsed="false">
      <c r="A55" s="8" t="s">
        <v>110</v>
      </c>
      <c r="B55" s="8" t="s">
        <v>37</v>
      </c>
      <c r="C55" s="8">
        <v>1</v>
      </c>
      <c r="D55" s="8">
        <v>1</v>
      </c>
      <c r="E55" s="8"/>
    </row>
    <row r="56" customFormat="false" ht="15" hidden="false" customHeight="false" outlineLevel="0" collapsed="false">
      <c r="A56" s="9" t="s">
        <v>111</v>
      </c>
      <c r="B56" s="9" t="s">
        <v>37</v>
      </c>
      <c r="C56" s="9">
        <v>1</v>
      </c>
      <c r="D56" s="9">
        <v>2</v>
      </c>
      <c r="E56" s="9"/>
    </row>
    <row r="57" customFormat="false" ht="15" hidden="false" customHeight="false" outlineLevel="0" collapsed="false">
      <c r="A57" s="8" t="s">
        <v>112</v>
      </c>
      <c r="B57" s="8" t="s">
        <v>37</v>
      </c>
      <c r="C57" s="8">
        <v>1</v>
      </c>
      <c r="D57" s="8">
        <v>3</v>
      </c>
      <c r="E57" s="8"/>
    </row>
    <row r="58" customFormat="false" ht="15" hidden="false" customHeight="false" outlineLevel="0" collapsed="false">
      <c r="A58" s="9" t="s">
        <v>113</v>
      </c>
      <c r="B58" s="9" t="s">
        <v>37</v>
      </c>
      <c r="C58" s="9">
        <v>1</v>
      </c>
      <c r="D58" s="9">
        <v>4</v>
      </c>
      <c r="E58" s="9"/>
    </row>
    <row r="59" customFormat="false" ht="15" hidden="false" customHeight="false" outlineLevel="0" collapsed="false">
      <c r="A59" s="8" t="s">
        <v>114</v>
      </c>
      <c r="B59" s="8" t="s">
        <v>37</v>
      </c>
      <c r="C59" s="8">
        <v>2</v>
      </c>
      <c r="D59" s="8">
        <v>1</v>
      </c>
      <c r="E59" s="8"/>
    </row>
    <row r="60" customFormat="false" ht="15" hidden="false" customHeight="false" outlineLevel="0" collapsed="false">
      <c r="A60" s="9" t="s">
        <v>115</v>
      </c>
      <c r="B60" s="9" t="s">
        <v>37</v>
      </c>
      <c r="C60" s="9">
        <v>2</v>
      </c>
      <c r="D60" s="9">
        <v>2</v>
      </c>
      <c r="E60" s="9"/>
    </row>
    <row r="61" customFormat="false" ht="15" hidden="false" customHeight="false" outlineLevel="0" collapsed="false">
      <c r="A61" s="8" t="s">
        <v>116</v>
      </c>
      <c r="B61" s="8" t="s">
        <v>37</v>
      </c>
      <c r="C61" s="8">
        <v>2</v>
      </c>
      <c r="D61" s="8">
        <v>3</v>
      </c>
      <c r="E61" s="8"/>
    </row>
    <row r="62" customFormat="false" ht="15" hidden="false" customHeight="false" outlineLevel="0" collapsed="false">
      <c r="A62" s="9" t="s">
        <v>117</v>
      </c>
      <c r="B62" s="9" t="s">
        <v>37</v>
      </c>
      <c r="C62" s="9">
        <v>2</v>
      </c>
      <c r="D62" s="9">
        <v>4</v>
      </c>
      <c r="E62" s="9"/>
    </row>
    <row r="63" customFormat="false" ht="15" hidden="false" customHeight="false" outlineLevel="0" collapsed="false">
      <c r="A63" s="8" t="s">
        <v>118</v>
      </c>
      <c r="B63" s="8" t="s">
        <v>37</v>
      </c>
      <c r="C63" s="8">
        <v>3</v>
      </c>
      <c r="D63" s="8">
        <v>1</v>
      </c>
      <c r="E63" s="8"/>
    </row>
    <row r="64" customFormat="false" ht="15" hidden="false" customHeight="false" outlineLevel="0" collapsed="false">
      <c r="A64" s="9" t="s">
        <v>119</v>
      </c>
      <c r="B64" s="9" t="s">
        <v>37</v>
      </c>
      <c r="C64" s="9">
        <v>3</v>
      </c>
      <c r="D64" s="9">
        <v>2</v>
      </c>
      <c r="E64" s="9"/>
    </row>
    <row r="65" customFormat="false" ht="15" hidden="false" customHeight="false" outlineLevel="0" collapsed="false">
      <c r="A65" s="8" t="s">
        <v>120</v>
      </c>
      <c r="B65" s="8" t="s">
        <v>37</v>
      </c>
      <c r="C65" s="8">
        <v>4</v>
      </c>
      <c r="D65" s="8">
        <v>1</v>
      </c>
      <c r="E65" s="8"/>
    </row>
    <row r="66" customFormat="false" ht="15" hidden="false" customHeight="false" outlineLevel="0" collapsed="false">
      <c r="A66" s="9" t="s">
        <v>121</v>
      </c>
      <c r="B66" s="9" t="s">
        <v>37</v>
      </c>
      <c r="C66" s="9">
        <v>4</v>
      </c>
      <c r="D66" s="9">
        <v>3</v>
      </c>
      <c r="E66" s="9"/>
    </row>
    <row r="67" customFormat="false" ht="15" hidden="false" customHeight="false" outlineLevel="0" collapsed="false">
      <c r="A67" s="8" t="s">
        <v>122</v>
      </c>
      <c r="B67" s="8" t="s">
        <v>39</v>
      </c>
      <c r="C67" s="8">
        <v>1</v>
      </c>
      <c r="D67" s="8">
        <v>1</v>
      </c>
      <c r="E67" s="8"/>
    </row>
    <row r="68" customFormat="false" ht="15" hidden="false" customHeight="false" outlineLevel="0" collapsed="false">
      <c r="A68" s="9" t="s">
        <v>123</v>
      </c>
      <c r="B68" s="9" t="s">
        <v>39</v>
      </c>
      <c r="C68" s="9">
        <v>1</v>
      </c>
      <c r="D68" s="9">
        <v>2</v>
      </c>
      <c r="E68" s="9"/>
    </row>
    <row r="69" customFormat="false" ht="15" hidden="false" customHeight="false" outlineLevel="0" collapsed="false">
      <c r="A69" s="8" t="s">
        <v>124</v>
      </c>
      <c r="B69" s="8" t="s">
        <v>39</v>
      </c>
      <c r="C69" s="8">
        <v>2</v>
      </c>
      <c r="D69" s="8">
        <v>1</v>
      </c>
      <c r="E69" s="8"/>
    </row>
    <row r="70" customFormat="false" ht="15" hidden="false" customHeight="false" outlineLevel="0" collapsed="false">
      <c r="A70" s="9" t="s">
        <v>125</v>
      </c>
      <c r="B70" s="9" t="s">
        <v>39</v>
      </c>
      <c r="C70" s="9">
        <v>2</v>
      </c>
      <c r="D70" s="9">
        <v>2</v>
      </c>
      <c r="E70" s="9"/>
    </row>
    <row r="71" customFormat="false" ht="15" hidden="false" customHeight="false" outlineLevel="0" collapsed="false">
      <c r="A71" s="8" t="s">
        <v>126</v>
      </c>
      <c r="B71" s="8" t="s">
        <v>39</v>
      </c>
      <c r="C71" s="8">
        <v>3</v>
      </c>
      <c r="D71" s="8">
        <v>1</v>
      </c>
      <c r="E71" s="8"/>
    </row>
    <row r="72" customFormat="false" ht="15" hidden="false" customHeight="false" outlineLevel="0" collapsed="false">
      <c r="A72" s="9" t="s">
        <v>127</v>
      </c>
      <c r="B72" s="9" t="s">
        <v>39</v>
      </c>
      <c r="C72" s="9">
        <v>3</v>
      </c>
      <c r="D72" s="9">
        <v>2</v>
      </c>
      <c r="E72" s="9"/>
    </row>
    <row r="73" customFormat="false" ht="15" hidden="false" customHeight="false" outlineLevel="0" collapsed="false">
      <c r="A73" s="8" t="s">
        <v>128</v>
      </c>
      <c r="B73" s="8" t="s">
        <v>39</v>
      </c>
      <c r="C73" s="8">
        <v>4</v>
      </c>
      <c r="D73" s="8">
        <v>1</v>
      </c>
      <c r="E73" s="8"/>
    </row>
    <row r="74" customFormat="false" ht="15" hidden="false" customHeight="false" outlineLevel="0" collapsed="false">
      <c r="A74" s="9" t="s">
        <v>129</v>
      </c>
      <c r="B74" s="9" t="s">
        <v>39</v>
      </c>
      <c r="C74" s="9">
        <v>4</v>
      </c>
      <c r="D74" s="9">
        <v>2</v>
      </c>
      <c r="E74" s="9"/>
    </row>
    <row r="75" customFormat="false" ht="15" hidden="false" customHeight="false" outlineLevel="0" collapsed="false">
      <c r="A75" s="8" t="s">
        <v>130</v>
      </c>
      <c r="B75" s="8" t="s">
        <v>41</v>
      </c>
      <c r="C75" s="8">
        <v>1</v>
      </c>
      <c r="D75" s="8">
        <v>1</v>
      </c>
      <c r="E75" s="8"/>
    </row>
    <row r="76" customFormat="false" ht="15" hidden="false" customHeight="false" outlineLevel="0" collapsed="false">
      <c r="A76" s="9" t="s">
        <v>131</v>
      </c>
      <c r="B76" s="9" t="s">
        <v>41</v>
      </c>
      <c r="C76" s="9">
        <v>1</v>
      </c>
      <c r="D76" s="9">
        <v>2</v>
      </c>
      <c r="E76" s="9"/>
    </row>
    <row r="77" customFormat="false" ht="15" hidden="false" customHeight="false" outlineLevel="0" collapsed="false">
      <c r="A77" s="8" t="s">
        <v>132</v>
      </c>
      <c r="B77" s="8" t="s">
        <v>41</v>
      </c>
      <c r="C77" s="8">
        <v>2</v>
      </c>
      <c r="D77" s="8">
        <v>1</v>
      </c>
      <c r="E77" s="8"/>
    </row>
    <row r="78" customFormat="false" ht="15" hidden="false" customHeight="false" outlineLevel="0" collapsed="false">
      <c r="A78" s="9" t="s">
        <v>133</v>
      </c>
      <c r="B78" s="9" t="s">
        <v>41</v>
      </c>
      <c r="C78" s="9">
        <v>2</v>
      </c>
      <c r="D78" s="9">
        <v>2</v>
      </c>
      <c r="E78" s="9"/>
    </row>
    <row r="79" customFormat="false" ht="15" hidden="false" customHeight="false" outlineLevel="0" collapsed="false">
      <c r="A79" s="8" t="s">
        <v>134</v>
      </c>
      <c r="B79" s="8" t="s">
        <v>41</v>
      </c>
      <c r="C79" s="8">
        <v>3</v>
      </c>
      <c r="D79" s="8">
        <v>1</v>
      </c>
      <c r="E79" s="8"/>
    </row>
    <row r="80" customFormat="false" ht="15" hidden="false" customHeight="false" outlineLevel="0" collapsed="false">
      <c r="A80" s="9" t="s">
        <v>135</v>
      </c>
      <c r="B80" s="9" t="s">
        <v>41</v>
      </c>
      <c r="C80" s="9">
        <v>4</v>
      </c>
      <c r="D80" s="9">
        <v>1</v>
      </c>
      <c r="E80" s="9"/>
    </row>
    <row r="81" customFormat="false" ht="15" hidden="false" customHeight="false" outlineLevel="0" collapsed="false">
      <c r="A81" s="8" t="s">
        <v>136</v>
      </c>
      <c r="B81" s="8" t="s">
        <v>41</v>
      </c>
      <c r="C81" s="8">
        <v>5</v>
      </c>
      <c r="D81" s="8">
        <v>1</v>
      </c>
      <c r="E81" s="8"/>
    </row>
    <row r="82" customFormat="false" ht="15" hidden="false" customHeight="false" outlineLevel="0" collapsed="false">
      <c r="A82" s="9" t="s">
        <v>137</v>
      </c>
      <c r="B82" s="9" t="s">
        <v>34</v>
      </c>
      <c r="C82" s="9">
        <v>1</v>
      </c>
      <c r="D82" s="9">
        <v>6</v>
      </c>
      <c r="E82" s="9"/>
    </row>
    <row r="83" customFormat="false" ht="15" hidden="false" customHeight="false" outlineLevel="0" collapsed="false">
      <c r="A83" s="8" t="s">
        <v>138</v>
      </c>
      <c r="B83" s="8" t="s">
        <v>34</v>
      </c>
      <c r="C83" s="8">
        <v>1</v>
      </c>
      <c r="D83" s="8">
        <v>7</v>
      </c>
      <c r="E83" s="8"/>
    </row>
    <row r="84" customFormat="false" ht="15" hidden="false" customHeight="false" outlineLevel="0" collapsed="false">
      <c r="A84" s="9" t="s">
        <v>139</v>
      </c>
      <c r="B84" s="9" t="s">
        <v>34</v>
      </c>
      <c r="C84" s="9">
        <v>1</v>
      </c>
      <c r="D84" s="9">
        <v>8</v>
      </c>
      <c r="E84" s="9"/>
    </row>
    <row r="85" customFormat="false" ht="15" hidden="false" customHeight="false" outlineLevel="0" collapsed="false">
      <c r="A85" s="8" t="s">
        <v>140</v>
      </c>
      <c r="B85" s="8" t="s">
        <v>34</v>
      </c>
      <c r="C85" s="8">
        <v>1</v>
      </c>
      <c r="D85" s="8">
        <v>3</v>
      </c>
      <c r="E85" s="8"/>
    </row>
    <row r="86" customFormat="false" ht="15" hidden="false" customHeight="false" outlineLevel="0" collapsed="false">
      <c r="A86" s="9" t="s">
        <v>141</v>
      </c>
      <c r="B86" s="9" t="s">
        <v>34</v>
      </c>
      <c r="C86" s="9">
        <v>1</v>
      </c>
      <c r="D86" s="9">
        <v>4</v>
      </c>
      <c r="E86" s="9"/>
    </row>
    <row r="87" customFormat="false" ht="15" hidden="false" customHeight="false" outlineLevel="0" collapsed="false">
      <c r="A87" s="8" t="s">
        <v>142</v>
      </c>
      <c r="B87" s="8" t="s">
        <v>34</v>
      </c>
      <c r="C87" s="8">
        <v>1</v>
      </c>
      <c r="D87" s="8">
        <v>5</v>
      </c>
      <c r="E87" s="8"/>
    </row>
    <row r="88" customFormat="false" ht="15" hidden="false" customHeight="false" outlineLevel="0" collapsed="false">
      <c r="A88" s="9" t="s">
        <v>143</v>
      </c>
      <c r="B88" s="9" t="s">
        <v>34</v>
      </c>
      <c r="C88" s="9">
        <v>1</v>
      </c>
      <c r="D88" s="9">
        <v>1</v>
      </c>
      <c r="E88" s="9"/>
    </row>
    <row r="89" customFormat="false" ht="15" hidden="false" customHeight="false" outlineLevel="0" collapsed="false">
      <c r="A89" s="8" t="s">
        <v>144</v>
      </c>
      <c r="B89" s="8" t="s">
        <v>34</v>
      </c>
      <c r="C89" s="8">
        <v>1</v>
      </c>
      <c r="D89" s="8">
        <v>2</v>
      </c>
      <c r="E89" s="8"/>
    </row>
    <row r="90" customFormat="false" ht="15" hidden="false" customHeight="false" outlineLevel="0" collapsed="false">
      <c r="A90" s="9" t="s">
        <v>145</v>
      </c>
      <c r="B90" s="9" t="s">
        <v>34</v>
      </c>
      <c r="C90" s="9">
        <v>1</v>
      </c>
      <c r="D90" s="9">
        <v>9</v>
      </c>
      <c r="E90" s="9"/>
    </row>
    <row r="91" customFormat="false" ht="15" hidden="false" customHeight="false" outlineLevel="0" collapsed="false">
      <c r="A91" s="8" t="s">
        <v>146</v>
      </c>
      <c r="B91" s="8" t="s">
        <v>34</v>
      </c>
      <c r="C91" s="8">
        <v>1</v>
      </c>
      <c r="D91" s="8">
        <v>10</v>
      </c>
      <c r="E91" s="8"/>
    </row>
    <row r="92" customFormat="false" ht="15" hidden="false" customHeight="false" outlineLevel="0" collapsed="false">
      <c r="A92" s="9" t="s">
        <v>147</v>
      </c>
      <c r="B92" s="9" t="s">
        <v>34</v>
      </c>
      <c r="C92" s="9">
        <v>1</v>
      </c>
      <c r="D92" s="9">
        <v>11</v>
      </c>
      <c r="E92" s="9"/>
    </row>
    <row r="93" customFormat="false" ht="15" hidden="false" customHeight="false" outlineLevel="0" collapsed="false">
      <c r="A93" s="8" t="s">
        <v>148</v>
      </c>
      <c r="B93" s="8" t="s">
        <v>34</v>
      </c>
      <c r="C93" s="8">
        <v>2</v>
      </c>
      <c r="D93" s="8">
        <v>1</v>
      </c>
      <c r="E93" s="8"/>
    </row>
    <row r="94" customFormat="false" ht="15" hidden="false" customHeight="false" outlineLevel="0" collapsed="false">
      <c r="A94" s="9" t="s">
        <v>149</v>
      </c>
      <c r="B94" s="9" t="s">
        <v>34</v>
      </c>
      <c r="C94" s="9">
        <v>2</v>
      </c>
      <c r="D94" s="9">
        <v>2</v>
      </c>
      <c r="E94" s="9"/>
    </row>
    <row r="95" customFormat="false" ht="15" hidden="false" customHeight="false" outlineLevel="0" collapsed="false">
      <c r="A95" s="8" t="s">
        <v>150</v>
      </c>
      <c r="B95" s="8" t="s">
        <v>34</v>
      </c>
      <c r="C95" s="8">
        <v>2</v>
      </c>
      <c r="D95" s="8">
        <v>3</v>
      </c>
      <c r="E95" s="8"/>
    </row>
    <row r="96" customFormat="false" ht="15" hidden="false" customHeight="false" outlineLevel="0" collapsed="false">
      <c r="A96" s="9" t="s">
        <v>151</v>
      </c>
      <c r="B96" s="9" t="s">
        <v>34</v>
      </c>
      <c r="C96" s="9">
        <v>2</v>
      </c>
      <c r="D96" s="9">
        <v>4</v>
      </c>
      <c r="E96" s="9"/>
    </row>
    <row r="97" customFormat="false" ht="15" hidden="false" customHeight="false" outlineLevel="0" collapsed="false">
      <c r="A97" s="8" t="s">
        <v>152</v>
      </c>
      <c r="B97" s="8" t="s">
        <v>34</v>
      </c>
      <c r="C97" s="8">
        <v>2</v>
      </c>
      <c r="D97" s="8">
        <v>5</v>
      </c>
      <c r="E97" s="8"/>
    </row>
    <row r="98" customFormat="false" ht="15" hidden="false" customHeight="false" outlineLevel="0" collapsed="false">
      <c r="A98" s="9" t="s">
        <v>153</v>
      </c>
      <c r="B98" s="9" t="s">
        <v>34</v>
      </c>
      <c r="C98" s="9">
        <v>2</v>
      </c>
      <c r="D98" s="9">
        <v>6</v>
      </c>
      <c r="E98" s="9"/>
    </row>
    <row r="99" customFormat="false" ht="15" hidden="false" customHeight="false" outlineLevel="0" collapsed="false">
      <c r="A99" s="8" t="s">
        <v>154</v>
      </c>
      <c r="B99" s="8" t="s">
        <v>34</v>
      </c>
      <c r="C99" s="8">
        <v>2</v>
      </c>
      <c r="D99" s="8">
        <v>7</v>
      </c>
      <c r="E99" s="8"/>
    </row>
    <row r="100" customFormat="false" ht="15" hidden="false" customHeight="false" outlineLevel="0" collapsed="false">
      <c r="A100" s="9" t="s">
        <v>155</v>
      </c>
      <c r="B100" s="9" t="s">
        <v>34</v>
      </c>
      <c r="C100" s="9">
        <v>2</v>
      </c>
      <c r="D100" s="9">
        <v>9</v>
      </c>
      <c r="E100" s="9"/>
    </row>
    <row r="101" customFormat="false" ht="15" hidden="false" customHeight="false" outlineLevel="0" collapsed="false">
      <c r="A101" s="8" t="s">
        <v>156</v>
      </c>
      <c r="B101" s="8" t="s">
        <v>34</v>
      </c>
      <c r="C101" s="8">
        <v>2</v>
      </c>
      <c r="D101" s="8">
        <v>11</v>
      </c>
      <c r="E101" s="8"/>
    </row>
    <row r="102" customFormat="false" ht="15" hidden="false" customHeight="false" outlineLevel="0" collapsed="false">
      <c r="A102" s="9" t="s">
        <v>157</v>
      </c>
      <c r="B102" s="9" t="s">
        <v>34</v>
      </c>
      <c r="C102" s="9">
        <v>2</v>
      </c>
      <c r="D102" s="9">
        <v>12</v>
      </c>
      <c r="E102" s="9"/>
    </row>
    <row r="103" customFormat="false" ht="15" hidden="false" customHeight="false" outlineLevel="0" collapsed="false">
      <c r="A103" s="8" t="s">
        <v>158</v>
      </c>
      <c r="B103" s="8" t="s">
        <v>34</v>
      </c>
      <c r="C103" s="8">
        <v>3</v>
      </c>
      <c r="D103" s="8">
        <v>1</v>
      </c>
      <c r="E103" s="8"/>
    </row>
    <row r="104" customFormat="false" ht="15" hidden="false" customHeight="false" outlineLevel="0" collapsed="false">
      <c r="A104" s="9" t="s">
        <v>159</v>
      </c>
      <c r="B104" s="9" t="s">
        <v>34</v>
      </c>
      <c r="C104" s="9">
        <v>3</v>
      </c>
      <c r="D104" s="9">
        <v>2</v>
      </c>
      <c r="E104" s="9"/>
    </row>
    <row r="105" customFormat="false" ht="15" hidden="false" customHeight="false" outlineLevel="0" collapsed="false">
      <c r="A105" s="8" t="s">
        <v>160</v>
      </c>
      <c r="B105" s="8" t="s">
        <v>34</v>
      </c>
      <c r="C105" s="8">
        <v>3</v>
      </c>
      <c r="D105" s="8">
        <v>3</v>
      </c>
      <c r="E105" s="8"/>
    </row>
    <row r="106" customFormat="false" ht="15" hidden="false" customHeight="false" outlineLevel="0" collapsed="false">
      <c r="A106" s="9" t="s">
        <v>161</v>
      </c>
      <c r="B106" s="9" t="s">
        <v>34</v>
      </c>
      <c r="C106" s="9">
        <v>3</v>
      </c>
      <c r="D106" s="9">
        <v>4</v>
      </c>
      <c r="E106" s="9"/>
    </row>
    <row r="107" customFormat="false" ht="15" hidden="false" customHeight="false" outlineLevel="0" collapsed="false">
      <c r="A107" s="8" t="s">
        <v>162</v>
      </c>
      <c r="B107" s="8" t="s">
        <v>34</v>
      </c>
      <c r="C107" s="8">
        <v>3</v>
      </c>
      <c r="D107" s="8">
        <v>5</v>
      </c>
      <c r="E107" s="8"/>
    </row>
    <row r="108" customFormat="false" ht="15" hidden="false" customHeight="false" outlineLevel="0" collapsed="false">
      <c r="A108" s="9" t="s">
        <v>163</v>
      </c>
      <c r="B108" s="9" t="s">
        <v>34</v>
      </c>
      <c r="C108" s="9">
        <v>3</v>
      </c>
      <c r="D108" s="9">
        <v>6</v>
      </c>
      <c r="E108" s="9"/>
    </row>
    <row r="109" customFormat="false" ht="15" hidden="false" customHeight="false" outlineLevel="0" collapsed="false">
      <c r="A109" s="8" t="s">
        <v>164</v>
      </c>
      <c r="B109" s="8" t="s">
        <v>34</v>
      </c>
      <c r="C109" s="8">
        <v>3</v>
      </c>
      <c r="D109" s="8">
        <v>7</v>
      </c>
      <c r="E109" s="8"/>
    </row>
    <row r="110" customFormat="false" ht="15" hidden="false" customHeight="false" outlineLevel="0" collapsed="false">
      <c r="A110" s="9" t="s">
        <v>165</v>
      </c>
      <c r="B110" s="9" t="s">
        <v>34</v>
      </c>
      <c r="C110" s="9">
        <v>3</v>
      </c>
      <c r="D110" s="9">
        <v>8</v>
      </c>
      <c r="E110" s="9"/>
    </row>
    <row r="111" customFormat="false" ht="15" hidden="false" customHeight="false" outlineLevel="0" collapsed="false">
      <c r="A111" s="8" t="s">
        <v>166</v>
      </c>
      <c r="B111" s="8" t="s">
        <v>34</v>
      </c>
      <c r="C111" s="8">
        <v>3</v>
      </c>
      <c r="D111" s="8">
        <v>9</v>
      </c>
      <c r="E111" s="8"/>
    </row>
    <row r="112" customFormat="false" ht="15" hidden="false" customHeight="false" outlineLevel="0" collapsed="false">
      <c r="A112" s="9" t="s">
        <v>167</v>
      </c>
      <c r="B112" s="9" t="s">
        <v>34</v>
      </c>
      <c r="C112" s="9">
        <v>3</v>
      </c>
      <c r="D112" s="9">
        <v>10</v>
      </c>
      <c r="E112" s="9"/>
    </row>
    <row r="113" customFormat="false" ht="15" hidden="false" customHeight="false" outlineLevel="0" collapsed="false">
      <c r="A113" s="8" t="s">
        <v>168</v>
      </c>
      <c r="B113" s="8" t="s">
        <v>34</v>
      </c>
      <c r="C113" s="8">
        <v>3</v>
      </c>
      <c r="D113" s="8">
        <v>11</v>
      </c>
      <c r="E113" s="8"/>
    </row>
    <row r="114" customFormat="false" ht="15" hidden="false" customHeight="false" outlineLevel="0" collapsed="false">
      <c r="A114" s="9" t="s">
        <v>169</v>
      </c>
      <c r="B114" s="9" t="s">
        <v>34</v>
      </c>
      <c r="C114" s="9">
        <v>3</v>
      </c>
      <c r="D114" s="9">
        <v>12</v>
      </c>
      <c r="E114" s="9"/>
    </row>
    <row r="115" customFormat="false" ht="15" hidden="false" customHeight="false" outlineLevel="0" collapsed="false">
      <c r="A115" s="8" t="s">
        <v>170</v>
      </c>
      <c r="B115" s="8" t="s">
        <v>34</v>
      </c>
      <c r="C115" s="8">
        <v>4</v>
      </c>
      <c r="D115" s="8">
        <v>1</v>
      </c>
      <c r="E115" s="8"/>
    </row>
    <row r="116" customFormat="false" ht="15" hidden="false" customHeight="false" outlineLevel="0" collapsed="false">
      <c r="A116" s="9" t="s">
        <v>171</v>
      </c>
      <c r="B116" s="9" t="s">
        <v>34</v>
      </c>
      <c r="C116" s="9">
        <v>4</v>
      </c>
      <c r="D116" s="9">
        <v>2</v>
      </c>
      <c r="E116" s="9"/>
    </row>
    <row r="117" customFormat="false" ht="15" hidden="false" customHeight="false" outlineLevel="0" collapsed="false">
      <c r="A117" s="8" t="s">
        <v>172</v>
      </c>
      <c r="B117" s="8" t="s">
        <v>34</v>
      </c>
      <c r="C117" s="8">
        <v>4</v>
      </c>
      <c r="D117" s="8">
        <v>3</v>
      </c>
      <c r="E117" s="8"/>
    </row>
    <row r="118" customFormat="false" ht="15" hidden="false" customHeight="false" outlineLevel="0" collapsed="false">
      <c r="A118" s="9" t="s">
        <v>173</v>
      </c>
      <c r="B118" s="9" t="s">
        <v>34</v>
      </c>
      <c r="C118" s="9">
        <v>4</v>
      </c>
      <c r="D118" s="9">
        <v>4</v>
      </c>
      <c r="E118" s="9"/>
    </row>
    <row r="119" customFormat="false" ht="15" hidden="false" customHeight="false" outlineLevel="0" collapsed="false">
      <c r="A119" s="8" t="s">
        <v>174</v>
      </c>
      <c r="B119" s="8" t="s">
        <v>34</v>
      </c>
      <c r="C119" s="8">
        <v>4</v>
      </c>
      <c r="D119" s="8">
        <v>5</v>
      </c>
      <c r="E119" s="8"/>
    </row>
    <row r="120" customFormat="false" ht="15" hidden="false" customHeight="false" outlineLevel="0" collapsed="false">
      <c r="A120" s="9" t="s">
        <v>175</v>
      </c>
      <c r="B120" s="9" t="s">
        <v>34</v>
      </c>
      <c r="C120" s="9">
        <v>4</v>
      </c>
      <c r="D120" s="9">
        <v>6</v>
      </c>
      <c r="E120" s="9"/>
    </row>
    <row r="121" customFormat="false" ht="15" hidden="false" customHeight="false" outlineLevel="0" collapsed="false">
      <c r="A121" s="8" t="s">
        <v>176</v>
      </c>
      <c r="B121" s="8" t="s">
        <v>34</v>
      </c>
      <c r="C121" s="8">
        <v>4</v>
      </c>
      <c r="D121" s="8">
        <v>7</v>
      </c>
      <c r="E121" s="8"/>
    </row>
    <row r="122" customFormat="false" ht="15" hidden="false" customHeight="false" outlineLevel="0" collapsed="false">
      <c r="A122" s="9" t="s">
        <v>177</v>
      </c>
      <c r="B122" s="9" t="s">
        <v>34</v>
      </c>
      <c r="C122" s="9">
        <v>4</v>
      </c>
      <c r="D122" s="9">
        <v>8</v>
      </c>
      <c r="E122" s="9"/>
    </row>
    <row r="123" customFormat="false" ht="15" hidden="false" customHeight="false" outlineLevel="0" collapsed="false">
      <c r="A123" s="8" t="s">
        <v>178</v>
      </c>
      <c r="B123" s="8" t="s">
        <v>34</v>
      </c>
      <c r="C123" s="8">
        <v>4</v>
      </c>
      <c r="D123" s="8">
        <v>9</v>
      </c>
      <c r="E123" s="8"/>
    </row>
    <row r="124" customFormat="false" ht="15" hidden="false" customHeight="false" outlineLevel="0" collapsed="false">
      <c r="A124" s="9" t="s">
        <v>179</v>
      </c>
      <c r="B124" s="9" t="s">
        <v>34</v>
      </c>
      <c r="C124" s="9">
        <v>4</v>
      </c>
      <c r="D124" s="9">
        <v>10</v>
      </c>
      <c r="E124" s="9"/>
    </row>
    <row r="125" customFormat="false" ht="15" hidden="false" customHeight="false" outlineLevel="0" collapsed="false">
      <c r="A125" s="8" t="s">
        <v>180</v>
      </c>
      <c r="B125" s="8" t="s">
        <v>34</v>
      </c>
      <c r="C125" s="8">
        <v>4</v>
      </c>
      <c r="D125" s="8">
        <v>11</v>
      </c>
      <c r="E125" s="8"/>
    </row>
    <row r="126" customFormat="false" ht="15" hidden="false" customHeight="false" outlineLevel="0" collapsed="false">
      <c r="A126" s="9" t="s">
        <v>181</v>
      </c>
      <c r="B126" s="9" t="s">
        <v>34</v>
      </c>
      <c r="C126" s="9">
        <v>4</v>
      </c>
      <c r="D126" s="9">
        <v>12</v>
      </c>
      <c r="E126" s="9"/>
    </row>
    <row r="127" customFormat="false" ht="15" hidden="false" customHeight="false" outlineLevel="0" collapsed="false">
      <c r="A127" s="8" t="s">
        <v>182</v>
      </c>
      <c r="B127" s="8" t="s">
        <v>34</v>
      </c>
      <c r="C127" s="8">
        <v>5</v>
      </c>
      <c r="D127" s="8">
        <v>1</v>
      </c>
      <c r="E127" s="8"/>
    </row>
    <row r="128" customFormat="false" ht="15" hidden="false" customHeight="false" outlineLevel="0" collapsed="false">
      <c r="A128" s="9" t="s">
        <v>183</v>
      </c>
      <c r="B128" s="9" t="s">
        <v>34</v>
      </c>
      <c r="C128" s="9">
        <v>5</v>
      </c>
      <c r="D128" s="9">
        <v>2</v>
      </c>
      <c r="E128" s="9"/>
    </row>
    <row r="129" customFormat="false" ht="15" hidden="false" customHeight="false" outlineLevel="0" collapsed="false">
      <c r="A129" s="8" t="s">
        <v>184</v>
      </c>
      <c r="B129" s="8" t="s">
        <v>34</v>
      </c>
      <c r="C129" s="8">
        <v>5</v>
      </c>
      <c r="D129" s="8">
        <v>3</v>
      </c>
      <c r="E129" s="8"/>
    </row>
    <row r="130" customFormat="false" ht="15" hidden="false" customHeight="false" outlineLevel="0" collapsed="false">
      <c r="A130" s="9" t="s">
        <v>185</v>
      </c>
      <c r="B130" s="9" t="s">
        <v>34</v>
      </c>
      <c r="C130" s="9">
        <v>5</v>
      </c>
      <c r="D130" s="9">
        <v>4</v>
      </c>
      <c r="E130" s="9"/>
    </row>
    <row r="131" customFormat="false" ht="15" hidden="false" customHeight="false" outlineLevel="0" collapsed="false">
      <c r="A131" s="8" t="s">
        <v>186</v>
      </c>
      <c r="B131" s="8" t="s">
        <v>34</v>
      </c>
      <c r="C131" s="8">
        <v>5</v>
      </c>
      <c r="D131" s="8">
        <v>5</v>
      </c>
      <c r="E131" s="8"/>
    </row>
    <row r="132" customFormat="false" ht="15" hidden="false" customHeight="false" outlineLevel="0" collapsed="false">
      <c r="A132" s="9" t="s">
        <v>187</v>
      </c>
      <c r="B132" s="9" t="s">
        <v>34</v>
      </c>
      <c r="C132" s="9">
        <v>5</v>
      </c>
      <c r="D132" s="9">
        <v>6</v>
      </c>
      <c r="E132" s="9"/>
    </row>
    <row r="133" customFormat="false" ht="15" hidden="false" customHeight="false" outlineLevel="0" collapsed="false">
      <c r="A133" s="8" t="s">
        <v>188</v>
      </c>
      <c r="B133" s="8" t="s">
        <v>34</v>
      </c>
      <c r="C133" s="8">
        <v>5</v>
      </c>
      <c r="D133" s="8">
        <v>7</v>
      </c>
      <c r="E133" s="8"/>
    </row>
    <row r="134" customFormat="false" ht="15" hidden="false" customHeight="false" outlineLevel="0" collapsed="false">
      <c r="A134" s="9" t="s">
        <v>189</v>
      </c>
      <c r="B134" s="9" t="s">
        <v>34</v>
      </c>
      <c r="C134" s="9">
        <v>5</v>
      </c>
      <c r="D134" s="9">
        <v>8</v>
      </c>
      <c r="E134" s="9"/>
    </row>
    <row r="135" customFormat="false" ht="15" hidden="false" customHeight="false" outlineLevel="0" collapsed="false">
      <c r="A135" s="8" t="s">
        <v>190</v>
      </c>
      <c r="B135" s="8" t="s">
        <v>34</v>
      </c>
      <c r="C135" s="8">
        <v>5</v>
      </c>
      <c r="D135" s="8">
        <v>9</v>
      </c>
      <c r="E135" s="8"/>
    </row>
    <row r="136" customFormat="false" ht="15" hidden="false" customHeight="false" outlineLevel="0" collapsed="false">
      <c r="A136" s="9" t="s">
        <v>191</v>
      </c>
      <c r="B136" s="9" t="s">
        <v>34</v>
      </c>
      <c r="C136" s="9">
        <v>5</v>
      </c>
      <c r="D136" s="9">
        <v>10</v>
      </c>
      <c r="E136" s="9"/>
    </row>
    <row r="137" customFormat="false" ht="15" hidden="false" customHeight="false" outlineLevel="0" collapsed="false">
      <c r="A137" s="8" t="s">
        <v>192</v>
      </c>
      <c r="B137" s="8" t="s">
        <v>34</v>
      </c>
      <c r="C137" s="8">
        <v>5</v>
      </c>
      <c r="D137" s="8">
        <v>11</v>
      </c>
      <c r="E137" s="8"/>
    </row>
    <row r="138" customFormat="false" ht="15" hidden="false" customHeight="false" outlineLevel="0" collapsed="false">
      <c r="A138" s="9" t="s">
        <v>193</v>
      </c>
      <c r="B138" s="9" t="s">
        <v>34</v>
      </c>
      <c r="C138" s="9">
        <v>5</v>
      </c>
      <c r="D138" s="9">
        <v>12</v>
      </c>
      <c r="E138" s="9"/>
    </row>
    <row r="139" customFormat="false" ht="15" hidden="false" customHeight="false" outlineLevel="0" collapsed="false">
      <c r="A139" s="8" t="s">
        <v>194</v>
      </c>
      <c r="B139" s="8" t="s">
        <v>34</v>
      </c>
      <c r="C139" s="8">
        <v>6</v>
      </c>
      <c r="D139" s="8">
        <v>1</v>
      </c>
      <c r="E139" s="8"/>
    </row>
    <row r="140" customFormat="false" ht="15" hidden="false" customHeight="false" outlineLevel="0" collapsed="false">
      <c r="A140" s="9" t="s">
        <v>195</v>
      </c>
      <c r="B140" s="9" t="s">
        <v>34</v>
      </c>
      <c r="C140" s="9">
        <v>6</v>
      </c>
      <c r="D140" s="9">
        <v>2</v>
      </c>
      <c r="E140" s="9"/>
    </row>
    <row r="141" customFormat="false" ht="15" hidden="false" customHeight="false" outlineLevel="0" collapsed="false">
      <c r="A141" s="8" t="s">
        <v>196</v>
      </c>
      <c r="B141" s="8" t="s">
        <v>34</v>
      </c>
      <c r="C141" s="8">
        <v>6</v>
      </c>
      <c r="D141" s="8">
        <v>3</v>
      </c>
      <c r="E141" s="8"/>
    </row>
    <row r="142" customFormat="false" ht="15" hidden="false" customHeight="false" outlineLevel="0" collapsed="false">
      <c r="A142" s="9" t="s">
        <v>197</v>
      </c>
      <c r="B142" s="9" t="s">
        <v>34</v>
      </c>
      <c r="C142" s="9">
        <v>6</v>
      </c>
      <c r="D142" s="9">
        <v>4</v>
      </c>
      <c r="E142" s="9"/>
    </row>
    <row r="143" customFormat="false" ht="15" hidden="false" customHeight="false" outlineLevel="0" collapsed="false">
      <c r="A143" s="8" t="s">
        <v>198</v>
      </c>
      <c r="B143" s="8" t="s">
        <v>34</v>
      </c>
      <c r="C143" s="8">
        <v>6</v>
      </c>
      <c r="D143" s="8">
        <v>5</v>
      </c>
      <c r="E143" s="8"/>
    </row>
    <row r="144" customFormat="false" ht="15" hidden="false" customHeight="false" outlineLevel="0" collapsed="false">
      <c r="A144" s="9" t="s">
        <v>199</v>
      </c>
      <c r="B144" s="9" t="s">
        <v>34</v>
      </c>
      <c r="C144" s="9">
        <v>6</v>
      </c>
      <c r="D144" s="9">
        <v>6</v>
      </c>
      <c r="E144" s="9"/>
    </row>
    <row r="145" customFormat="false" ht="15" hidden="false" customHeight="false" outlineLevel="0" collapsed="false">
      <c r="A145" s="8" t="s">
        <v>200</v>
      </c>
      <c r="B145" s="8" t="s">
        <v>34</v>
      </c>
      <c r="C145" s="8">
        <v>6</v>
      </c>
      <c r="D145" s="8">
        <v>7</v>
      </c>
      <c r="E145" s="8"/>
    </row>
    <row r="146" customFormat="false" ht="15" hidden="false" customHeight="false" outlineLevel="0" collapsed="false">
      <c r="A146" s="9" t="s">
        <v>201</v>
      </c>
      <c r="B146" s="9" t="s">
        <v>34</v>
      </c>
      <c r="C146" s="9">
        <v>6</v>
      </c>
      <c r="D146" s="9">
        <v>8</v>
      </c>
      <c r="E146" s="9"/>
    </row>
    <row r="147" customFormat="false" ht="15" hidden="false" customHeight="false" outlineLevel="0" collapsed="false">
      <c r="A147" s="8" t="s">
        <v>202</v>
      </c>
      <c r="B147" s="8" t="s">
        <v>34</v>
      </c>
      <c r="C147" s="8">
        <v>6</v>
      </c>
      <c r="D147" s="8">
        <v>9</v>
      </c>
      <c r="E147" s="8"/>
    </row>
    <row r="148" customFormat="false" ht="15" hidden="false" customHeight="false" outlineLevel="0" collapsed="false">
      <c r="A148" s="9" t="s">
        <v>203</v>
      </c>
      <c r="B148" s="9" t="s">
        <v>34</v>
      </c>
      <c r="C148" s="9">
        <v>6</v>
      </c>
      <c r="D148" s="9">
        <v>10</v>
      </c>
      <c r="E148" s="9"/>
    </row>
    <row r="149" customFormat="false" ht="15" hidden="false" customHeight="false" outlineLevel="0" collapsed="false">
      <c r="A149" s="8" t="s">
        <v>204</v>
      </c>
      <c r="B149" s="8" t="s">
        <v>34</v>
      </c>
      <c r="C149" s="8">
        <v>6</v>
      </c>
      <c r="D149" s="8">
        <v>11</v>
      </c>
      <c r="E149" s="8"/>
    </row>
    <row r="150" customFormat="false" ht="15" hidden="false" customHeight="false" outlineLevel="0" collapsed="false">
      <c r="A150" s="9" t="s">
        <v>205</v>
      </c>
      <c r="B150" s="9" t="s">
        <v>34</v>
      </c>
      <c r="C150" s="9">
        <v>6</v>
      </c>
      <c r="D150" s="9">
        <v>12</v>
      </c>
      <c r="E150" s="9"/>
    </row>
    <row r="151" customFormat="false" ht="15" hidden="false" customHeight="false" outlineLevel="0" collapsed="false">
      <c r="A151" s="8" t="s">
        <v>206</v>
      </c>
      <c r="B151" s="8" t="s">
        <v>34</v>
      </c>
      <c r="C151" s="8">
        <v>7</v>
      </c>
      <c r="D151" s="8">
        <v>1</v>
      </c>
      <c r="E151" s="8"/>
    </row>
    <row r="152" customFormat="false" ht="15" hidden="false" customHeight="false" outlineLevel="0" collapsed="false">
      <c r="A152" s="9" t="s">
        <v>207</v>
      </c>
      <c r="B152" s="9" t="s">
        <v>34</v>
      </c>
      <c r="C152" s="9">
        <v>7</v>
      </c>
      <c r="D152" s="9">
        <v>2</v>
      </c>
      <c r="E152" s="9"/>
    </row>
    <row r="153" customFormat="false" ht="15" hidden="false" customHeight="false" outlineLevel="0" collapsed="false">
      <c r="A153" s="8" t="s">
        <v>208</v>
      </c>
      <c r="B153" s="8" t="s">
        <v>34</v>
      </c>
      <c r="C153" s="8">
        <v>7</v>
      </c>
      <c r="D153" s="8">
        <v>3</v>
      </c>
      <c r="E153" s="8"/>
    </row>
    <row r="154" customFormat="false" ht="15" hidden="false" customHeight="false" outlineLevel="0" collapsed="false">
      <c r="A154" s="9" t="s">
        <v>209</v>
      </c>
      <c r="B154" s="9" t="s">
        <v>34</v>
      </c>
      <c r="C154" s="9">
        <v>7</v>
      </c>
      <c r="D154" s="9">
        <v>4</v>
      </c>
      <c r="E154" s="9"/>
    </row>
    <row r="155" customFormat="false" ht="15" hidden="false" customHeight="false" outlineLevel="0" collapsed="false">
      <c r="A155" s="8" t="s">
        <v>210</v>
      </c>
      <c r="B155" s="8" t="s">
        <v>34</v>
      </c>
      <c r="C155" s="8">
        <v>7</v>
      </c>
      <c r="D155" s="8">
        <v>5</v>
      </c>
      <c r="E155" s="8"/>
    </row>
    <row r="156" customFormat="false" ht="15" hidden="false" customHeight="false" outlineLevel="0" collapsed="false">
      <c r="A156" s="9" t="s">
        <v>211</v>
      </c>
      <c r="B156" s="9" t="s">
        <v>34</v>
      </c>
      <c r="C156" s="9">
        <v>7</v>
      </c>
      <c r="D156" s="9">
        <v>6</v>
      </c>
      <c r="E156" s="9"/>
    </row>
    <row r="157" customFormat="false" ht="15" hidden="false" customHeight="false" outlineLevel="0" collapsed="false">
      <c r="A157" s="8" t="s">
        <v>212</v>
      </c>
      <c r="B157" s="8" t="s">
        <v>34</v>
      </c>
      <c r="C157" s="8">
        <v>7</v>
      </c>
      <c r="D157" s="8">
        <v>7</v>
      </c>
      <c r="E157" s="8"/>
    </row>
    <row r="158" customFormat="false" ht="15" hidden="false" customHeight="false" outlineLevel="0" collapsed="false">
      <c r="A158" s="9" t="s">
        <v>213</v>
      </c>
      <c r="B158" s="9" t="s">
        <v>34</v>
      </c>
      <c r="C158" s="9">
        <v>7</v>
      </c>
      <c r="D158" s="9">
        <v>8</v>
      </c>
      <c r="E158" s="9"/>
    </row>
    <row r="159" customFormat="false" ht="15" hidden="false" customHeight="false" outlineLevel="0" collapsed="false">
      <c r="A159" s="8" t="s">
        <v>214</v>
      </c>
      <c r="B159" s="8" t="s">
        <v>34</v>
      </c>
      <c r="C159" s="8">
        <v>7</v>
      </c>
      <c r="D159" s="8">
        <v>9</v>
      </c>
      <c r="E159" s="8"/>
    </row>
    <row r="160" customFormat="false" ht="15" hidden="false" customHeight="false" outlineLevel="0" collapsed="false">
      <c r="A160" s="9" t="s">
        <v>215</v>
      </c>
      <c r="B160" s="9" t="s">
        <v>34</v>
      </c>
      <c r="C160" s="9">
        <v>7</v>
      </c>
      <c r="D160" s="9">
        <v>10</v>
      </c>
      <c r="E160" s="9"/>
    </row>
    <row r="161" customFormat="false" ht="15" hidden="false" customHeight="false" outlineLevel="0" collapsed="false">
      <c r="A161" s="8" t="s">
        <v>216</v>
      </c>
      <c r="B161" s="8" t="s">
        <v>34</v>
      </c>
      <c r="C161" s="8">
        <v>7</v>
      </c>
      <c r="D161" s="8">
        <v>11</v>
      </c>
      <c r="E161" s="8"/>
    </row>
    <row r="162" customFormat="false" ht="15" hidden="false" customHeight="false" outlineLevel="0" collapsed="false">
      <c r="A162" s="9" t="s">
        <v>217</v>
      </c>
      <c r="B162" s="9" t="s">
        <v>34</v>
      </c>
      <c r="C162" s="9">
        <v>7</v>
      </c>
      <c r="D162" s="9">
        <v>12</v>
      </c>
      <c r="E162" s="9"/>
    </row>
    <row r="163" customFormat="false" ht="15" hidden="false" customHeight="false" outlineLevel="0" collapsed="false">
      <c r="A163" s="8" t="s">
        <v>218</v>
      </c>
      <c r="B163" s="8" t="s">
        <v>34</v>
      </c>
      <c r="C163" s="8">
        <v>8</v>
      </c>
      <c r="D163" s="8">
        <v>1</v>
      </c>
      <c r="E163" s="8"/>
    </row>
    <row r="164" customFormat="false" ht="15" hidden="false" customHeight="false" outlineLevel="0" collapsed="false">
      <c r="A164" s="9" t="s">
        <v>219</v>
      </c>
      <c r="B164" s="9" t="s">
        <v>34</v>
      </c>
      <c r="C164" s="9">
        <v>8</v>
      </c>
      <c r="D164" s="9">
        <v>2</v>
      </c>
      <c r="E164" s="9"/>
    </row>
    <row r="165" customFormat="false" ht="15" hidden="false" customHeight="false" outlineLevel="0" collapsed="false">
      <c r="A165" s="8" t="s">
        <v>220</v>
      </c>
      <c r="B165" s="8" t="s">
        <v>34</v>
      </c>
      <c r="C165" s="8">
        <v>8</v>
      </c>
      <c r="D165" s="8">
        <v>3</v>
      </c>
      <c r="E165" s="8"/>
    </row>
    <row r="166" customFormat="false" ht="15" hidden="false" customHeight="false" outlineLevel="0" collapsed="false">
      <c r="A166" s="9" t="s">
        <v>221</v>
      </c>
      <c r="B166" s="9" t="s">
        <v>34</v>
      </c>
      <c r="C166" s="9">
        <v>8</v>
      </c>
      <c r="D166" s="9">
        <v>4</v>
      </c>
      <c r="E166" s="9"/>
    </row>
    <row r="167" customFormat="false" ht="15" hidden="false" customHeight="false" outlineLevel="0" collapsed="false">
      <c r="A167" s="8" t="s">
        <v>222</v>
      </c>
      <c r="B167" s="8" t="s">
        <v>34</v>
      </c>
      <c r="C167" s="8">
        <v>8</v>
      </c>
      <c r="D167" s="8">
        <v>5</v>
      </c>
      <c r="E167" s="8"/>
    </row>
    <row r="168" customFormat="false" ht="15" hidden="false" customHeight="false" outlineLevel="0" collapsed="false">
      <c r="A168" s="9" t="s">
        <v>223</v>
      </c>
      <c r="B168" s="9" t="s">
        <v>34</v>
      </c>
      <c r="C168" s="9">
        <v>8</v>
      </c>
      <c r="D168" s="9">
        <v>6</v>
      </c>
      <c r="E168" s="9"/>
    </row>
    <row r="169" customFormat="false" ht="15" hidden="false" customHeight="false" outlineLevel="0" collapsed="false">
      <c r="A169" s="8" t="s">
        <v>224</v>
      </c>
      <c r="B169" s="8" t="s">
        <v>34</v>
      </c>
      <c r="C169" s="8">
        <v>8</v>
      </c>
      <c r="D169" s="8">
        <v>7</v>
      </c>
      <c r="E169" s="8"/>
    </row>
    <row r="170" customFormat="false" ht="15" hidden="false" customHeight="false" outlineLevel="0" collapsed="false">
      <c r="A170" s="9" t="s">
        <v>225</v>
      </c>
      <c r="B170" s="9" t="s">
        <v>34</v>
      </c>
      <c r="C170" s="9">
        <v>8</v>
      </c>
      <c r="D170" s="9">
        <v>8</v>
      </c>
      <c r="E170" s="9"/>
    </row>
    <row r="171" customFormat="false" ht="15" hidden="false" customHeight="false" outlineLevel="0" collapsed="false">
      <c r="A171" s="8" t="s">
        <v>226</v>
      </c>
      <c r="B171" s="8" t="s">
        <v>34</v>
      </c>
      <c r="C171" s="8">
        <v>8</v>
      </c>
      <c r="D171" s="8">
        <v>9</v>
      </c>
      <c r="E171" s="8"/>
    </row>
    <row r="172" customFormat="false" ht="15" hidden="false" customHeight="false" outlineLevel="0" collapsed="false">
      <c r="A172" s="9" t="s">
        <v>227</v>
      </c>
      <c r="B172" s="9" t="s">
        <v>34</v>
      </c>
      <c r="C172" s="9">
        <v>8</v>
      </c>
      <c r="D172" s="9">
        <v>11</v>
      </c>
      <c r="E172" s="9"/>
    </row>
    <row r="173" customFormat="false" ht="15" hidden="false" customHeight="false" outlineLevel="0" collapsed="false">
      <c r="A173" s="8" t="s">
        <v>228</v>
      </c>
      <c r="B173" s="8" t="s">
        <v>34</v>
      </c>
      <c r="C173" s="8">
        <v>8</v>
      </c>
      <c r="D173" s="8">
        <v>12</v>
      </c>
      <c r="E173" s="8"/>
    </row>
    <row r="174" customFormat="false" ht="15" hidden="false" customHeight="false" outlineLevel="0" collapsed="false">
      <c r="A174" s="9" t="s">
        <v>229</v>
      </c>
      <c r="B174" s="9" t="s">
        <v>34</v>
      </c>
      <c r="C174" s="9">
        <v>9</v>
      </c>
      <c r="D174" s="9">
        <v>1</v>
      </c>
      <c r="E174" s="9"/>
    </row>
    <row r="175" customFormat="false" ht="15" hidden="false" customHeight="false" outlineLevel="0" collapsed="false">
      <c r="A175" s="8" t="s">
        <v>230</v>
      </c>
      <c r="B175" s="8" t="s">
        <v>34</v>
      </c>
      <c r="C175" s="8">
        <v>2</v>
      </c>
      <c r="D175" s="8">
        <v>8</v>
      </c>
      <c r="E175" s="8"/>
    </row>
    <row r="176" customFormat="false" ht="15" hidden="false" customHeight="false" outlineLevel="0" collapsed="false">
      <c r="A176" s="9" t="s">
        <v>231</v>
      </c>
      <c r="B176" s="9" t="s">
        <v>47</v>
      </c>
      <c r="C176" s="9">
        <v>4</v>
      </c>
      <c r="D176" s="9">
        <v>1</v>
      </c>
      <c r="E176" s="9"/>
    </row>
    <row r="177" customFormat="false" ht="15" hidden="false" customHeight="false" outlineLevel="0" collapsed="false">
      <c r="A177" s="8" t="s">
        <v>232</v>
      </c>
      <c r="B177" s="8" t="s">
        <v>47</v>
      </c>
      <c r="C177" s="8">
        <v>4</v>
      </c>
      <c r="D177" s="8">
        <v>2</v>
      </c>
      <c r="E177" s="8"/>
    </row>
    <row r="178" customFormat="false" ht="15" hidden="false" customHeight="false" outlineLevel="0" collapsed="false">
      <c r="A178" s="9" t="s">
        <v>233</v>
      </c>
      <c r="B178" s="9" t="s">
        <v>47</v>
      </c>
      <c r="C178" s="9">
        <v>3</v>
      </c>
      <c r="D178" s="9">
        <v>1</v>
      </c>
      <c r="E178" s="9"/>
    </row>
    <row r="179" customFormat="false" ht="15" hidden="false" customHeight="false" outlineLevel="0" collapsed="false">
      <c r="A179" s="8" t="s">
        <v>234</v>
      </c>
      <c r="B179" s="8" t="s">
        <v>47</v>
      </c>
      <c r="C179" s="8">
        <v>3</v>
      </c>
      <c r="D179" s="8">
        <v>2</v>
      </c>
      <c r="E179" s="8"/>
    </row>
    <row r="180" customFormat="false" ht="15" hidden="false" customHeight="false" outlineLevel="0" collapsed="false">
      <c r="A180" s="9" t="s">
        <v>235</v>
      </c>
      <c r="B180" s="9" t="s">
        <v>47</v>
      </c>
      <c r="C180" s="9">
        <v>2</v>
      </c>
      <c r="D180" s="9">
        <v>1</v>
      </c>
      <c r="E180" s="9"/>
    </row>
    <row r="181" customFormat="false" ht="15" hidden="false" customHeight="false" outlineLevel="0" collapsed="false">
      <c r="A181" s="8" t="s">
        <v>236</v>
      </c>
      <c r="B181" s="8" t="s">
        <v>47</v>
      </c>
      <c r="C181" s="8">
        <v>2</v>
      </c>
      <c r="D181" s="8">
        <v>2</v>
      </c>
      <c r="E181" s="8"/>
    </row>
    <row r="182" customFormat="false" ht="15" hidden="false" customHeight="false" outlineLevel="0" collapsed="false">
      <c r="A182" s="9" t="s">
        <v>237</v>
      </c>
      <c r="B182" s="9" t="s">
        <v>47</v>
      </c>
      <c r="C182" s="9">
        <v>1</v>
      </c>
      <c r="D182" s="9">
        <v>1</v>
      </c>
      <c r="E182" s="9"/>
    </row>
    <row r="183" customFormat="false" ht="15" hidden="false" customHeight="false" outlineLevel="0" collapsed="false">
      <c r="A183" s="8" t="s">
        <v>238</v>
      </c>
      <c r="B183" s="8" t="s">
        <v>47</v>
      </c>
      <c r="C183" s="8">
        <v>1</v>
      </c>
      <c r="D183" s="8">
        <v>2</v>
      </c>
      <c r="E183" s="8"/>
    </row>
    <row r="184" customFormat="false" ht="15" hidden="false" customHeight="false" outlineLevel="0" collapsed="false">
      <c r="A184" s="9" t="s">
        <v>239</v>
      </c>
      <c r="B184" s="9" t="s">
        <v>48</v>
      </c>
      <c r="C184" s="9">
        <v>5</v>
      </c>
      <c r="D184" s="9">
        <v>1</v>
      </c>
      <c r="E184" s="9"/>
    </row>
    <row r="185" customFormat="false" ht="15" hidden="false" customHeight="false" outlineLevel="0" collapsed="false">
      <c r="A185" s="8" t="s">
        <v>240</v>
      </c>
      <c r="B185" s="8" t="s">
        <v>48</v>
      </c>
      <c r="C185" s="8">
        <v>5</v>
      </c>
      <c r="D185" s="8">
        <v>2</v>
      </c>
      <c r="E185" s="8"/>
    </row>
    <row r="186" customFormat="false" ht="15" hidden="false" customHeight="false" outlineLevel="0" collapsed="false">
      <c r="A186" s="9" t="s">
        <v>241</v>
      </c>
      <c r="B186" s="9" t="s">
        <v>48</v>
      </c>
      <c r="C186" s="9">
        <v>4</v>
      </c>
      <c r="D186" s="9">
        <v>1</v>
      </c>
      <c r="E186" s="9"/>
    </row>
    <row r="187" customFormat="false" ht="15" hidden="false" customHeight="false" outlineLevel="0" collapsed="false">
      <c r="A187" s="8" t="s">
        <v>242</v>
      </c>
      <c r="B187" s="8" t="s">
        <v>48</v>
      </c>
      <c r="C187" s="8">
        <v>4</v>
      </c>
      <c r="D187" s="8">
        <v>2</v>
      </c>
      <c r="E187" s="8"/>
    </row>
    <row r="188" customFormat="false" ht="15" hidden="false" customHeight="false" outlineLevel="0" collapsed="false">
      <c r="A188" s="9" t="s">
        <v>243</v>
      </c>
      <c r="B188" s="9" t="s">
        <v>48</v>
      </c>
      <c r="C188" s="9">
        <v>3</v>
      </c>
      <c r="D188" s="9">
        <v>1</v>
      </c>
      <c r="E188" s="9"/>
    </row>
    <row r="189" customFormat="false" ht="15" hidden="false" customHeight="false" outlineLevel="0" collapsed="false">
      <c r="A189" s="8" t="s">
        <v>244</v>
      </c>
      <c r="B189" s="8" t="s">
        <v>48</v>
      </c>
      <c r="C189" s="8">
        <v>3</v>
      </c>
      <c r="D189" s="8">
        <v>2</v>
      </c>
      <c r="E189" s="8"/>
    </row>
    <row r="190" customFormat="false" ht="15" hidden="false" customHeight="false" outlineLevel="0" collapsed="false">
      <c r="A190" s="9" t="s">
        <v>245</v>
      </c>
      <c r="B190" s="9" t="s">
        <v>48</v>
      </c>
      <c r="C190" s="9">
        <v>2</v>
      </c>
      <c r="D190" s="9">
        <v>1</v>
      </c>
      <c r="E190" s="9"/>
    </row>
    <row r="191" customFormat="false" ht="15" hidden="false" customHeight="false" outlineLevel="0" collapsed="false">
      <c r="A191" s="8" t="s">
        <v>49</v>
      </c>
      <c r="B191" s="8" t="s">
        <v>48</v>
      </c>
      <c r="C191" s="8">
        <v>2</v>
      </c>
      <c r="D191" s="8">
        <v>2</v>
      </c>
      <c r="E191" s="8"/>
    </row>
    <row r="192" customFormat="false" ht="15" hidden="false" customHeight="false" outlineLevel="0" collapsed="false">
      <c r="A192" s="9" t="s">
        <v>246</v>
      </c>
      <c r="B192" s="9" t="s">
        <v>48</v>
      </c>
      <c r="C192" s="9">
        <v>1</v>
      </c>
      <c r="D192" s="9">
        <v>1</v>
      </c>
      <c r="E192" s="9"/>
    </row>
    <row r="193" customFormat="false" ht="15" hidden="false" customHeight="false" outlineLevel="0" collapsed="false">
      <c r="A193" s="8" t="s">
        <v>247</v>
      </c>
      <c r="B193" s="8" t="s">
        <v>48</v>
      </c>
      <c r="C193" s="8">
        <v>1</v>
      </c>
      <c r="D193" s="8">
        <v>2</v>
      </c>
      <c r="E193" s="8"/>
    </row>
    <row r="194" customFormat="false" ht="15" hidden="false" customHeight="false" outlineLevel="0" collapsed="false">
      <c r="A194" s="9" t="s">
        <v>248</v>
      </c>
      <c r="B194" s="9" t="s">
        <v>50</v>
      </c>
      <c r="C194" s="9">
        <v>1</v>
      </c>
      <c r="D194" s="9">
        <v>1</v>
      </c>
      <c r="E194" s="9"/>
    </row>
    <row r="195" customFormat="false" ht="15" hidden="false" customHeight="false" outlineLevel="0" collapsed="false">
      <c r="A195" s="8" t="s">
        <v>249</v>
      </c>
      <c r="B195" s="8" t="s">
        <v>50</v>
      </c>
      <c r="C195" s="8">
        <v>1</v>
      </c>
      <c r="D195" s="8">
        <v>2</v>
      </c>
      <c r="E195" s="8"/>
    </row>
    <row r="196" customFormat="false" ht="15" hidden="false" customHeight="false" outlineLevel="0" collapsed="false">
      <c r="A196" s="9" t="s">
        <v>250</v>
      </c>
      <c r="B196" s="9" t="s">
        <v>50</v>
      </c>
      <c r="C196" s="9">
        <v>2</v>
      </c>
      <c r="D196" s="9">
        <v>1</v>
      </c>
      <c r="E196" s="9"/>
    </row>
    <row r="197" customFormat="false" ht="15" hidden="false" customHeight="false" outlineLevel="0" collapsed="false">
      <c r="A197" s="8" t="s">
        <v>251</v>
      </c>
      <c r="B197" s="8" t="s">
        <v>50</v>
      </c>
      <c r="C197" s="8">
        <v>3</v>
      </c>
      <c r="D197" s="8">
        <v>1</v>
      </c>
      <c r="E197" s="8"/>
    </row>
    <row r="198" customFormat="false" ht="15" hidden="false" customHeight="false" outlineLevel="0" collapsed="false">
      <c r="A198" s="9" t="s">
        <v>252</v>
      </c>
      <c r="B198" s="9" t="s">
        <v>50</v>
      </c>
      <c r="C198" s="9">
        <v>3</v>
      </c>
      <c r="D198" s="9">
        <v>2</v>
      </c>
      <c r="E198" s="9"/>
    </row>
    <row r="199" customFormat="false" ht="15" hidden="false" customHeight="false" outlineLevel="0" collapsed="false">
      <c r="A199" s="8" t="s">
        <v>253</v>
      </c>
      <c r="B199" s="8" t="s">
        <v>50</v>
      </c>
      <c r="C199" s="8">
        <v>4</v>
      </c>
      <c r="D199" s="8">
        <v>1</v>
      </c>
      <c r="E199" s="8"/>
    </row>
    <row r="200" customFormat="false" ht="15" hidden="false" customHeight="false" outlineLevel="0" collapsed="false">
      <c r="A200" s="9" t="s">
        <v>254</v>
      </c>
      <c r="B200" s="9" t="s">
        <v>50</v>
      </c>
      <c r="C200" s="9">
        <v>4</v>
      </c>
      <c r="D200" s="9">
        <v>2</v>
      </c>
      <c r="E200" s="9"/>
    </row>
    <row r="201" customFormat="false" ht="15" hidden="false" customHeight="false" outlineLevel="0" collapsed="false">
      <c r="A201" s="8" t="s">
        <v>255</v>
      </c>
      <c r="B201" s="8" t="s">
        <v>50</v>
      </c>
      <c r="C201" s="8">
        <v>5</v>
      </c>
      <c r="D201" s="8">
        <v>1</v>
      </c>
      <c r="E201" s="8"/>
    </row>
    <row r="202" customFormat="false" ht="15" hidden="false" customHeight="false" outlineLevel="0" collapsed="false">
      <c r="A202" s="9" t="s">
        <v>256</v>
      </c>
      <c r="B202" s="9" t="s">
        <v>50</v>
      </c>
      <c r="C202" s="9">
        <v>5</v>
      </c>
      <c r="D202" s="9">
        <v>2</v>
      </c>
      <c r="E202" s="9"/>
    </row>
    <row r="203" customFormat="false" ht="15" hidden="false" customHeight="false" outlineLevel="0" collapsed="false">
      <c r="A203" s="8" t="s">
        <v>257</v>
      </c>
      <c r="B203" s="8" t="s">
        <v>52</v>
      </c>
      <c r="C203" s="8">
        <v>1</v>
      </c>
      <c r="D203" s="8">
        <v>1</v>
      </c>
      <c r="E203" s="8"/>
    </row>
    <row r="204" customFormat="false" ht="15" hidden="false" customHeight="false" outlineLevel="0" collapsed="false">
      <c r="A204" s="9" t="s">
        <v>258</v>
      </c>
      <c r="B204" s="9" t="s">
        <v>52</v>
      </c>
      <c r="C204" s="9">
        <v>1</v>
      </c>
      <c r="D204" s="9">
        <v>2</v>
      </c>
      <c r="E204" s="9"/>
    </row>
    <row r="205" customFormat="false" ht="15" hidden="false" customHeight="false" outlineLevel="0" collapsed="false">
      <c r="A205" s="8" t="s">
        <v>259</v>
      </c>
      <c r="B205" s="8" t="s">
        <v>52</v>
      </c>
      <c r="C205" s="8">
        <v>1</v>
      </c>
      <c r="D205" s="8">
        <v>3</v>
      </c>
      <c r="E205" s="8"/>
    </row>
    <row r="206" customFormat="false" ht="15" hidden="false" customHeight="false" outlineLevel="0" collapsed="false">
      <c r="A206" s="9" t="s">
        <v>260</v>
      </c>
      <c r="B206" s="9" t="s">
        <v>52</v>
      </c>
      <c r="C206" s="9">
        <v>2</v>
      </c>
      <c r="D206" s="9">
        <v>1</v>
      </c>
      <c r="E206" s="9"/>
    </row>
    <row r="207" customFormat="false" ht="15" hidden="false" customHeight="false" outlineLevel="0" collapsed="false">
      <c r="A207" s="8" t="s">
        <v>261</v>
      </c>
      <c r="B207" s="8" t="s">
        <v>52</v>
      </c>
      <c r="C207" s="8">
        <v>2</v>
      </c>
      <c r="D207" s="8">
        <v>3</v>
      </c>
      <c r="E207" s="8"/>
    </row>
    <row r="208" customFormat="false" ht="15" hidden="false" customHeight="false" outlineLevel="0" collapsed="false">
      <c r="A208" s="9" t="s">
        <v>262</v>
      </c>
      <c r="B208" s="9" t="s">
        <v>52</v>
      </c>
      <c r="C208" s="9">
        <v>2</v>
      </c>
      <c r="D208" s="9">
        <v>4</v>
      </c>
      <c r="E208" s="9"/>
    </row>
    <row r="209" customFormat="false" ht="15" hidden="false" customHeight="false" outlineLevel="0" collapsed="false">
      <c r="A209" s="8" t="s">
        <v>263</v>
      </c>
      <c r="B209" s="8" t="s">
        <v>52</v>
      </c>
      <c r="C209" s="8">
        <v>2</v>
      </c>
      <c r="D209" s="8">
        <v>5</v>
      </c>
      <c r="E209" s="8"/>
    </row>
    <row r="210" customFormat="false" ht="15" hidden="false" customHeight="false" outlineLevel="0" collapsed="false">
      <c r="A210" s="9" t="s">
        <v>264</v>
      </c>
      <c r="B210" s="9" t="s">
        <v>52</v>
      </c>
      <c r="C210" s="9">
        <v>2</v>
      </c>
      <c r="D210" s="9">
        <v>6</v>
      </c>
      <c r="E210" s="9"/>
    </row>
    <row r="211" customFormat="false" ht="15" hidden="false" customHeight="false" outlineLevel="0" collapsed="false">
      <c r="A211" s="8" t="s">
        <v>265</v>
      </c>
      <c r="B211" s="8" t="s">
        <v>52</v>
      </c>
      <c r="C211" s="8">
        <v>3</v>
      </c>
      <c r="D211" s="8">
        <v>1</v>
      </c>
      <c r="E211" s="8"/>
    </row>
    <row r="212" customFormat="false" ht="15" hidden="false" customHeight="false" outlineLevel="0" collapsed="false">
      <c r="A212" s="9" t="s">
        <v>266</v>
      </c>
      <c r="B212" s="9" t="s">
        <v>52</v>
      </c>
      <c r="C212" s="9">
        <v>3</v>
      </c>
      <c r="D212" s="9">
        <v>2</v>
      </c>
      <c r="E212" s="9"/>
    </row>
    <row r="213" customFormat="false" ht="15" hidden="false" customHeight="false" outlineLevel="0" collapsed="false">
      <c r="A213" s="8" t="s">
        <v>267</v>
      </c>
      <c r="B213" s="8" t="s">
        <v>52</v>
      </c>
      <c r="C213" s="8">
        <v>3</v>
      </c>
      <c r="D213" s="8">
        <v>3</v>
      </c>
      <c r="E213" s="8"/>
    </row>
    <row r="214" customFormat="false" ht="15" hidden="false" customHeight="false" outlineLevel="0" collapsed="false">
      <c r="A214" s="9" t="s">
        <v>268</v>
      </c>
      <c r="B214" s="9" t="s">
        <v>52</v>
      </c>
      <c r="C214" s="9">
        <v>3</v>
      </c>
      <c r="D214" s="9">
        <v>4</v>
      </c>
      <c r="E214" s="9"/>
    </row>
    <row r="215" customFormat="false" ht="15" hidden="false" customHeight="false" outlineLevel="0" collapsed="false">
      <c r="A215" s="8" t="s">
        <v>269</v>
      </c>
      <c r="B215" s="8" t="s">
        <v>52</v>
      </c>
      <c r="C215" s="8">
        <v>3</v>
      </c>
      <c r="D215" s="8">
        <v>5</v>
      </c>
      <c r="E215" s="8"/>
    </row>
    <row r="216" customFormat="false" ht="15" hidden="false" customHeight="false" outlineLevel="0" collapsed="false">
      <c r="A216" s="9" t="s">
        <v>270</v>
      </c>
      <c r="B216" s="9" t="s">
        <v>52</v>
      </c>
      <c r="C216" s="9">
        <v>3</v>
      </c>
      <c r="D216" s="9">
        <v>6</v>
      </c>
      <c r="E216" s="9"/>
    </row>
    <row r="217" customFormat="false" ht="15" hidden="false" customHeight="false" outlineLevel="0" collapsed="false">
      <c r="A217" s="8" t="s">
        <v>271</v>
      </c>
      <c r="B217" s="8" t="s">
        <v>52</v>
      </c>
      <c r="C217" s="8">
        <v>3</v>
      </c>
      <c r="D217" s="8">
        <v>7</v>
      </c>
      <c r="E217" s="8"/>
    </row>
    <row r="218" customFormat="false" ht="15" hidden="false" customHeight="false" outlineLevel="0" collapsed="false">
      <c r="A218" s="9" t="s">
        <v>272</v>
      </c>
      <c r="B218" s="9" t="s">
        <v>52</v>
      </c>
      <c r="C218" s="9">
        <v>3</v>
      </c>
      <c r="D218" s="9">
        <v>8</v>
      </c>
      <c r="E218" s="9"/>
    </row>
    <row r="219" customFormat="false" ht="15" hidden="false" customHeight="false" outlineLevel="0" collapsed="false">
      <c r="A219" s="8" t="s">
        <v>273</v>
      </c>
      <c r="B219" s="8" t="s">
        <v>52</v>
      </c>
      <c r="C219" s="8">
        <v>4</v>
      </c>
      <c r="D219" s="8">
        <v>1</v>
      </c>
      <c r="E219" s="8"/>
    </row>
    <row r="220" customFormat="false" ht="15" hidden="false" customHeight="false" outlineLevel="0" collapsed="false">
      <c r="A220" s="9" t="s">
        <v>274</v>
      </c>
      <c r="B220" s="9" t="s">
        <v>52</v>
      </c>
      <c r="C220" s="9">
        <v>3</v>
      </c>
      <c r="D220" s="9">
        <v>10</v>
      </c>
      <c r="E220" s="9"/>
    </row>
    <row r="221" customFormat="false" ht="15" hidden="false" customHeight="false" outlineLevel="0" collapsed="false">
      <c r="A221" s="8" t="s">
        <v>275</v>
      </c>
      <c r="B221" s="8" t="s">
        <v>52</v>
      </c>
      <c r="C221" s="8">
        <v>4</v>
      </c>
      <c r="D221" s="8">
        <v>3</v>
      </c>
      <c r="E221" s="8"/>
    </row>
    <row r="222" customFormat="false" ht="15" hidden="false" customHeight="false" outlineLevel="0" collapsed="false">
      <c r="A222" s="9" t="s">
        <v>276</v>
      </c>
      <c r="B222" s="9" t="s">
        <v>52</v>
      </c>
      <c r="C222" s="9">
        <v>5</v>
      </c>
      <c r="D222" s="9">
        <v>1</v>
      </c>
      <c r="E222" s="9"/>
    </row>
    <row r="223" customFormat="false" ht="15" hidden="false" customHeight="false" outlineLevel="0" collapsed="false">
      <c r="A223" s="8" t="s">
        <v>277</v>
      </c>
      <c r="B223" s="8" t="s">
        <v>52</v>
      </c>
      <c r="C223" s="8">
        <v>5</v>
      </c>
      <c r="D223" s="8">
        <v>2</v>
      </c>
      <c r="E223" s="8"/>
    </row>
    <row r="224" customFormat="false" ht="15" hidden="false" customHeight="false" outlineLevel="0" collapsed="false">
      <c r="A224" s="9" t="s">
        <v>278</v>
      </c>
      <c r="B224" s="9" t="s">
        <v>53</v>
      </c>
      <c r="C224" s="9">
        <v>1</v>
      </c>
      <c r="D224" s="9">
        <v>1</v>
      </c>
      <c r="E224" s="9"/>
    </row>
    <row r="225" customFormat="false" ht="15" hidden="false" customHeight="false" outlineLevel="0" collapsed="false">
      <c r="A225" s="8" t="s">
        <v>279</v>
      </c>
      <c r="B225" s="8"/>
      <c r="C225" s="8"/>
      <c r="D225" s="8"/>
      <c r="E225" s="8"/>
    </row>
    <row r="226" customFormat="false" ht="15" hidden="false" customHeight="false" outlineLevel="0" collapsed="false">
      <c r="A226" s="9" t="s">
        <v>280</v>
      </c>
      <c r="B226" s="9"/>
      <c r="C226" s="9"/>
      <c r="D226" s="9"/>
      <c r="E226" s="9"/>
    </row>
    <row r="227" customFormat="false" ht="15" hidden="false" customHeight="false" outlineLevel="0" collapsed="false">
      <c r="A227" s="8" t="s">
        <v>281</v>
      </c>
      <c r="B227" s="8"/>
      <c r="C227" s="8">
        <v>2</v>
      </c>
      <c r="D227" s="8"/>
      <c r="E227" s="8"/>
    </row>
    <row r="228" customFormat="false" ht="15" hidden="false" customHeight="false" outlineLevel="0" collapsed="false">
      <c r="A228" s="9" t="s">
        <v>282</v>
      </c>
      <c r="B228" s="9"/>
      <c r="C228" s="9"/>
      <c r="D228" s="9"/>
      <c r="E228" s="9"/>
    </row>
    <row r="229" customFormat="false" ht="15" hidden="false" customHeight="false" outlineLevel="0" collapsed="false">
      <c r="A229" s="8" t="s">
        <v>283</v>
      </c>
      <c r="B229" s="8"/>
      <c r="C229" s="8"/>
      <c r="D229" s="8"/>
      <c r="E229" s="8"/>
    </row>
    <row r="230" customFormat="false" ht="15" hidden="false" customHeight="false" outlineLevel="0" collapsed="false">
      <c r="A230" s="9" t="s">
        <v>284</v>
      </c>
      <c r="B230" s="9"/>
      <c r="C230" s="9"/>
      <c r="D230" s="9"/>
      <c r="E230" s="9"/>
    </row>
    <row r="231" customFormat="false" ht="15" hidden="false" customHeight="false" outlineLevel="0" collapsed="false">
      <c r="A231" s="8" t="s">
        <v>285</v>
      </c>
      <c r="B231" s="8" t="s">
        <v>52</v>
      </c>
      <c r="C231" s="8">
        <v>2</v>
      </c>
      <c r="D231" s="8">
        <v>2</v>
      </c>
      <c r="E231" s="8"/>
    </row>
    <row r="232" customFormat="false" ht="15" hidden="false" customHeight="false" outlineLevel="0" collapsed="false">
      <c r="A232" s="9" t="s">
        <v>286</v>
      </c>
      <c r="B232" s="9" t="s">
        <v>53</v>
      </c>
      <c r="C232" s="9">
        <v>1</v>
      </c>
      <c r="D232" s="9">
        <v>2</v>
      </c>
      <c r="E232" s="9"/>
    </row>
    <row r="233" customFormat="false" ht="15" hidden="false" customHeight="false" outlineLevel="0" collapsed="false">
      <c r="A233" s="8" t="s">
        <v>287</v>
      </c>
      <c r="B233" s="8" t="s">
        <v>53</v>
      </c>
      <c r="C233" s="8">
        <v>1</v>
      </c>
      <c r="D233" s="8">
        <v>3</v>
      </c>
      <c r="E233" s="8"/>
    </row>
    <row r="234" customFormat="false" ht="15" hidden="false" customHeight="false" outlineLevel="0" collapsed="false">
      <c r="A234" s="9" t="s">
        <v>288</v>
      </c>
      <c r="B234" s="9" t="s">
        <v>53</v>
      </c>
      <c r="C234" s="9">
        <v>2</v>
      </c>
      <c r="D234" s="9">
        <v>1</v>
      </c>
      <c r="E234" s="9"/>
    </row>
    <row r="235" customFormat="false" ht="15" hidden="false" customHeight="false" outlineLevel="0" collapsed="false">
      <c r="A235" s="8" t="s">
        <v>289</v>
      </c>
      <c r="B235" s="8" t="s">
        <v>53</v>
      </c>
      <c r="C235" s="8">
        <v>2</v>
      </c>
      <c r="D235" s="8">
        <v>2</v>
      </c>
      <c r="E235" s="8"/>
    </row>
    <row r="236" customFormat="false" ht="15" hidden="false" customHeight="false" outlineLevel="0" collapsed="false">
      <c r="A236" s="9" t="s">
        <v>290</v>
      </c>
      <c r="B236" s="9" t="s">
        <v>53</v>
      </c>
      <c r="C236" s="9">
        <v>2</v>
      </c>
      <c r="D236" s="9">
        <v>3</v>
      </c>
      <c r="E236" s="9"/>
    </row>
    <row r="237" customFormat="false" ht="15" hidden="false" customHeight="false" outlineLevel="0" collapsed="false">
      <c r="A237" s="8" t="s">
        <v>291</v>
      </c>
      <c r="B237" s="8" t="s">
        <v>53</v>
      </c>
      <c r="C237" s="8">
        <v>3</v>
      </c>
      <c r="D237" s="8">
        <v>1</v>
      </c>
      <c r="E237" s="8"/>
    </row>
    <row r="238" customFormat="false" ht="15" hidden="false" customHeight="false" outlineLevel="0" collapsed="false">
      <c r="A238" s="9" t="s">
        <v>292</v>
      </c>
      <c r="B238" s="9" t="s">
        <v>53</v>
      </c>
      <c r="C238" s="9">
        <v>4</v>
      </c>
      <c r="D238" s="9">
        <v>1</v>
      </c>
      <c r="E238" s="9"/>
    </row>
    <row r="239" customFormat="false" ht="15" hidden="false" customHeight="false" outlineLevel="0" collapsed="false">
      <c r="A239" s="8" t="s">
        <v>293</v>
      </c>
      <c r="B239" s="8" t="s">
        <v>53</v>
      </c>
      <c r="C239" s="8">
        <v>4</v>
      </c>
      <c r="D239" s="8">
        <v>2</v>
      </c>
      <c r="E239" s="8"/>
    </row>
    <row r="240" customFormat="false" ht="15" hidden="false" customHeight="false" outlineLevel="0" collapsed="false">
      <c r="A240" s="9" t="s">
        <v>294</v>
      </c>
      <c r="B240" s="9" t="s">
        <v>31</v>
      </c>
      <c r="C240" s="9">
        <v>3</v>
      </c>
      <c r="D240" s="9">
        <v>3</v>
      </c>
      <c r="E240" s="9"/>
    </row>
    <row r="241" customFormat="false" ht="15" hidden="false" customHeight="false" outlineLevel="0" collapsed="false">
      <c r="A241" s="13"/>
      <c r="B241" s="13"/>
      <c r="C241" s="13"/>
      <c r="D241" s="13"/>
      <c r="E241" s="13"/>
    </row>
    <row r="242" customFormat="false" ht="15" hidden="false" customHeight="false" outlineLevel="0" collapsed="false">
      <c r="A242" s="11"/>
      <c r="B242" s="11"/>
      <c r="C242" s="11"/>
      <c r="D242" s="11"/>
      <c r="E242" s="11"/>
    </row>
    <row r="243" customFormat="false" ht="15" hidden="false" customHeight="false" outlineLevel="0" collapsed="false">
      <c r="A243" s="13"/>
      <c r="B243" s="13"/>
      <c r="C243" s="13"/>
      <c r="D243" s="13"/>
      <c r="E243" s="13"/>
    </row>
    <row r="244" customFormat="false" ht="15" hidden="false" customHeight="false" outlineLevel="0" collapsed="false">
      <c r="A244" s="11"/>
      <c r="B244" s="11"/>
      <c r="C244" s="11"/>
      <c r="D244" s="11"/>
      <c r="E244" s="11"/>
    </row>
    <row r="245" customFormat="false" ht="15" hidden="false" customHeight="false" outlineLevel="0" collapsed="false">
      <c r="A245" s="13"/>
      <c r="B245" s="13"/>
      <c r="C245" s="13"/>
      <c r="D245" s="13"/>
      <c r="E245" s="13"/>
    </row>
    <row r="246" customFormat="false" ht="15" hidden="false" customHeight="false" outlineLevel="0" collapsed="false">
      <c r="A246" s="11"/>
      <c r="B246" s="11"/>
      <c r="C246" s="11"/>
      <c r="D246" s="11"/>
      <c r="E246" s="11"/>
    </row>
    <row r="247" customFormat="false" ht="15" hidden="false" customHeight="false" outlineLevel="0" collapsed="false">
      <c r="A247" s="13"/>
      <c r="B247" s="13"/>
      <c r="C247" s="13"/>
      <c r="D247" s="13"/>
      <c r="E247" s="13"/>
    </row>
    <row r="248" customFormat="false" ht="15" hidden="false" customHeight="false" outlineLevel="0" collapsed="false">
      <c r="A248" s="11"/>
      <c r="B248" s="11"/>
      <c r="C248" s="11"/>
      <c r="D248" s="11"/>
      <c r="E248" s="11"/>
    </row>
    <row r="249" customFormat="false" ht="15" hidden="false" customHeight="false" outlineLevel="0" collapsed="false">
      <c r="A249" s="13"/>
      <c r="B249" s="13"/>
      <c r="C249" s="13"/>
      <c r="D249" s="13"/>
      <c r="E249" s="13"/>
    </row>
    <row r="250" customFormat="false" ht="15" hidden="false" customHeight="false" outlineLevel="0" collapsed="false">
      <c r="A250" s="11"/>
      <c r="B250" s="11"/>
      <c r="C250" s="11"/>
      <c r="D250" s="11"/>
      <c r="E250" s="11"/>
    </row>
    <row r="251" customFormat="false" ht="15" hidden="false" customHeight="false" outlineLevel="0" collapsed="false">
      <c r="A251" s="13"/>
      <c r="B251" s="13"/>
      <c r="C251" s="13"/>
      <c r="D251" s="13"/>
      <c r="E251" s="13"/>
    </row>
    <row r="252" customFormat="false" ht="15" hidden="false" customHeight="false" outlineLevel="0" collapsed="false">
      <c r="A252" s="11"/>
      <c r="B252" s="11"/>
      <c r="C252" s="11"/>
      <c r="D252" s="11"/>
      <c r="E252" s="11"/>
    </row>
    <row r="253" customFormat="false" ht="15" hidden="false" customHeight="false" outlineLevel="0" collapsed="false">
      <c r="A253" s="13"/>
      <c r="B253" s="13"/>
      <c r="C253" s="13"/>
      <c r="D253" s="13"/>
      <c r="E253" s="13"/>
    </row>
    <row r="254" customFormat="false" ht="15" hidden="false" customHeight="false" outlineLevel="0" collapsed="false">
      <c r="A254" s="11"/>
      <c r="B254" s="11"/>
      <c r="C254" s="11"/>
      <c r="D254" s="11"/>
      <c r="E254" s="11"/>
    </row>
    <row r="255" customFormat="false" ht="15" hidden="false" customHeight="false" outlineLevel="0" collapsed="false">
      <c r="A255" s="13"/>
      <c r="B255" s="13"/>
      <c r="C255" s="13"/>
      <c r="D255" s="13"/>
      <c r="E255" s="13"/>
    </row>
    <row r="256" customFormat="false" ht="15" hidden="false" customHeight="false" outlineLevel="0" collapsed="false">
      <c r="A256" s="11"/>
      <c r="B256" s="11"/>
      <c r="C256" s="11"/>
      <c r="D256" s="11"/>
      <c r="E256" s="11"/>
    </row>
    <row r="257" customFormat="false" ht="15" hidden="false" customHeight="false" outlineLevel="0" collapsed="false">
      <c r="A257" s="13"/>
      <c r="B257" s="13"/>
      <c r="C257" s="13"/>
      <c r="D257" s="13"/>
      <c r="E257" s="13"/>
    </row>
    <row r="258" customFormat="false" ht="15" hidden="false" customHeight="false" outlineLevel="0" collapsed="false">
      <c r="A258" s="11"/>
      <c r="B258" s="11"/>
      <c r="C258" s="11"/>
      <c r="D258" s="11"/>
      <c r="E258" s="11"/>
    </row>
    <row r="259" customFormat="false" ht="15" hidden="false" customHeight="false" outlineLevel="0" collapsed="false">
      <c r="A259" s="13"/>
      <c r="B259" s="13"/>
      <c r="C259" s="13"/>
      <c r="D259" s="13"/>
      <c r="E259" s="13"/>
    </row>
    <row r="260" customFormat="false" ht="15" hidden="false" customHeight="false" outlineLevel="0" collapsed="false">
      <c r="A260" s="11"/>
      <c r="B260" s="11"/>
      <c r="C260" s="11"/>
      <c r="D260" s="11"/>
      <c r="E260" s="11"/>
    </row>
    <row r="261" customFormat="false" ht="15" hidden="false" customHeight="false" outlineLevel="0" collapsed="false">
      <c r="A261" s="13"/>
      <c r="B261" s="13"/>
      <c r="C261" s="13"/>
      <c r="D261" s="13"/>
      <c r="E261" s="13"/>
    </row>
    <row r="262" customFormat="false" ht="15" hidden="false" customHeight="false" outlineLevel="0" collapsed="false">
      <c r="A262" s="11"/>
      <c r="B262" s="11"/>
      <c r="C262" s="11"/>
      <c r="D262" s="11"/>
      <c r="E262" s="11"/>
    </row>
  </sheetData>
  <mergeCells count="1">
    <mergeCell ref="A1:E1"/>
  </mergeCells>
  <dataValidations count="1">
    <dataValidation allowBlank="true" error="Pick a closet from the list." errorStyle="stop" errorTitle="Invalid Closet" operator="between" showDropDown="false" showErrorMessage="true" showInputMessage="false" sqref="B3:B262" type="list">
      <formula1>ClosetList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7" activeCellId="0" sqref="D7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51.76"/>
    <col collapsed="false" customWidth="true" hidden="false" outlineLevel="0" max="2" min="2" style="1" width="22.35"/>
    <col collapsed="false" customWidth="true" hidden="false" outlineLevel="0" max="3" min="3" style="1" width="19.74"/>
    <col collapsed="false" customWidth="true" hidden="false" outlineLevel="0" max="4" min="4" style="1" width="38.06"/>
    <col collapsed="false" customWidth="true" hidden="false" outlineLevel="0" max="5" min="5" style="17" width="29.98"/>
    <col collapsed="false" customWidth="true" hidden="false" outlineLevel="0" max="6" min="6" style="17" width="22.92"/>
    <col collapsed="false" customWidth="true" hidden="false" outlineLevel="0" max="7" min="7" style="1" width="32.29"/>
    <col collapsed="false" customWidth="true" hidden="false" outlineLevel="0" max="8" min="8" style="18" width="15"/>
  </cols>
  <sheetData>
    <row r="1" customFormat="false" ht="30" hidden="false" customHeight="true" outlineLevel="0" collapsed="false">
      <c r="A1" s="15" t="s">
        <v>295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7" t="s">
        <v>16</v>
      </c>
      <c r="B2" s="7" t="s">
        <v>296</v>
      </c>
      <c r="C2" s="7" t="s">
        <v>297</v>
      </c>
      <c r="D2" s="7" t="s">
        <v>17</v>
      </c>
      <c r="E2" s="7" t="s">
        <v>9</v>
      </c>
      <c r="F2" s="7" t="s">
        <v>298</v>
      </c>
      <c r="G2" s="7" t="s">
        <v>27</v>
      </c>
      <c r="H2" s="7" t="s">
        <v>14</v>
      </c>
    </row>
    <row r="3" customFormat="false" ht="15" hidden="false" customHeight="false" outlineLevel="0" collapsed="false">
      <c r="A3" s="13" t="s">
        <v>299</v>
      </c>
      <c r="B3" s="13"/>
      <c r="C3" s="13" t="n">
        <f aca="false">IF(A3="","",H3-SUMPRODUCT(('Checkout Log'!$A$3:$A$302=A3)*('Checkout Log'!$K$3:$K$302&lt;&gt;"Returned")*N('Checkout Log'!$B$3:$B$302)))</f>
        <v>10</v>
      </c>
      <c r="D3" s="13" t="s">
        <v>59</v>
      </c>
      <c r="E3" s="8" t="str">
        <f aca="false">IF(D3="","",IFERROR(VLOOKUP(D3,Bins!$A:$B,2,0),"—"))</f>
        <v>C1</v>
      </c>
      <c r="F3" s="8" t="s">
        <v>300</v>
      </c>
      <c r="G3" s="13"/>
      <c r="H3" s="13">
        <v>10</v>
      </c>
    </row>
    <row r="4" customFormat="false" ht="15" hidden="false" customHeight="false" outlineLevel="0" collapsed="false">
      <c r="A4" s="11" t="s">
        <v>62</v>
      </c>
      <c r="B4" s="11"/>
      <c r="C4" s="11" t="n">
        <f aca="false">IF(A4="","",H4-SUMPRODUCT(('Checkout Log'!$A$3:$A$302=A4)*('Checkout Log'!$K$3:$K$302&lt;&gt;"Returned")*N('Checkout Log'!$B$3:$B$302)))</f>
        <v>10</v>
      </c>
      <c r="D4" s="11" t="s">
        <v>62</v>
      </c>
      <c r="E4" s="9" t="str">
        <f aca="false">IF(D4="","",IFERROR(VLOOKUP(D4,Bins!$A:$B,2,0),"—"))</f>
        <v>C1</v>
      </c>
      <c r="F4" s="9" t="s">
        <v>300</v>
      </c>
      <c r="G4" s="11"/>
      <c r="H4" s="11">
        <v>10</v>
      </c>
    </row>
    <row r="5" customFormat="false" ht="15" hidden="false" customHeight="false" outlineLevel="0" collapsed="false">
      <c r="A5" s="13" t="s">
        <v>63</v>
      </c>
      <c r="B5" s="13"/>
      <c r="C5" s="13" t="n">
        <f aca="false">IF(A5="","",H5-SUMPRODUCT(('Checkout Log'!$A$3:$A$302=A5)*('Checkout Log'!$K$3:$K$302&lt;&gt;"Returned")*N('Checkout Log'!$B$3:$B$302)))</f>
        <v>16</v>
      </c>
      <c r="D5" s="13" t="s">
        <v>63</v>
      </c>
      <c r="E5" s="8" t="str">
        <f aca="false">IF(D5="","",IFERROR(VLOOKUP(D5,Bins!$A:$B,2,0),"—"))</f>
        <v>C1</v>
      </c>
      <c r="F5" s="8" t="s">
        <v>300</v>
      </c>
      <c r="G5" s="13"/>
      <c r="H5" s="13">
        <v>16</v>
      </c>
    </row>
    <row r="6" customFormat="false" ht="15" hidden="false" customHeight="false" outlineLevel="0" collapsed="false">
      <c r="A6" s="11" t="s">
        <v>126</v>
      </c>
      <c r="B6" s="11"/>
      <c r="C6" s="11" t="n">
        <f aca="false">IF(A6="","",H6-SUMPRODUCT(('Checkout Log'!$A$3:$A$302=A6)*('Checkout Log'!$K$3:$K$302&lt;&gt;"Returned")*N('Checkout Log'!$B$3:$B$302)))</f>
        <v>30</v>
      </c>
      <c r="D6" s="11" t="s">
        <v>126</v>
      </c>
      <c r="E6" s="9" t="str">
        <f aca="false">IF(D6="","",IFERROR(VLOOKUP(D6,Bins!$A:$B,2,0),"—"))</f>
        <v>C6</v>
      </c>
      <c r="F6" s="9" t="s">
        <v>300</v>
      </c>
      <c r="G6" s="11"/>
      <c r="H6" s="11">
        <v>30</v>
      </c>
    </row>
    <row r="7" customFormat="false" ht="15" hidden="false" customHeight="false" outlineLevel="0" collapsed="false">
      <c r="A7" s="13" t="s">
        <v>73</v>
      </c>
      <c r="B7" s="13"/>
      <c r="C7" s="13" t="n">
        <f aca="false">IF(A7="","",H7-SUMPRODUCT(('Checkout Log'!$A$3:$A$302=A7)*('Checkout Log'!$K$3:$K$302&lt;&gt;"Returned")*N('Checkout Log'!$B$3:$B$302)))</f>
        <v>2</v>
      </c>
      <c r="D7" s="13" t="s">
        <v>73</v>
      </c>
      <c r="E7" s="8" t="str">
        <f aca="false">IF(D7="","",IFERROR(VLOOKUP(D7,Bins!$A:$B,2,0),"—"))</f>
        <v>C1</v>
      </c>
      <c r="F7" s="8" t="s">
        <v>300</v>
      </c>
      <c r="G7" s="13"/>
      <c r="H7" s="13">
        <v>2</v>
      </c>
    </row>
    <row r="8" customFormat="false" ht="15" hidden="false" customHeight="false" outlineLevel="0" collapsed="false">
      <c r="A8" s="11" t="s">
        <v>301</v>
      </c>
      <c r="B8" s="11"/>
      <c r="C8" s="11" t="n">
        <f aca="false">IF(A8="","",H8-SUMPRODUCT(('Checkout Log'!$A$3:$A$302=A8)*('Checkout Log'!$K$3:$K$302&lt;&gt;"Returned")*N('Checkout Log'!$B$3:$B$302)))</f>
        <v>2</v>
      </c>
      <c r="D8" s="11" t="s">
        <v>75</v>
      </c>
      <c r="E8" s="9" t="str">
        <f aca="false">IF(D8="","",IFERROR(VLOOKUP(D8,Bins!$A:$B,2,0),"—"))</f>
        <v>C1</v>
      </c>
      <c r="F8" s="9" t="s">
        <v>300</v>
      </c>
      <c r="G8" s="11"/>
      <c r="H8" s="11">
        <v>2</v>
      </c>
    </row>
    <row r="9" customFormat="false" ht="15" hidden="false" customHeight="false" outlineLevel="0" collapsed="false">
      <c r="A9" s="13" t="s">
        <v>302</v>
      </c>
      <c r="B9" s="13"/>
      <c r="C9" s="13" t="n">
        <f aca="false">IF(A9="","",H9-SUMPRODUCT(('Checkout Log'!$A$3:$A$302=A9)*('Checkout Log'!$K$3:$K$302&lt;&gt;"Returned")*N('Checkout Log'!$B$3:$B$302)))</f>
        <v>6</v>
      </c>
      <c r="D9" s="13" t="s">
        <v>75</v>
      </c>
      <c r="E9" s="8" t="str">
        <f aca="false">IF(D9="","",IFERROR(VLOOKUP(D9,Bins!$A:$B,2,0),"—"))</f>
        <v>C1</v>
      </c>
      <c r="F9" s="8" t="s">
        <v>300</v>
      </c>
      <c r="G9" s="13"/>
      <c r="H9" s="13">
        <v>6</v>
      </c>
    </row>
    <row r="10" customFormat="false" ht="15" hidden="false" customHeight="false" outlineLevel="0" collapsed="false">
      <c r="A10" s="11" t="s">
        <v>303</v>
      </c>
      <c r="B10" s="11"/>
      <c r="C10" s="11" t="n">
        <f aca="false">IF(A10="","",H10-SUMPRODUCT(('Checkout Log'!$A$3:$A$302=A10)*('Checkout Log'!$K$3:$K$302&lt;&gt;"Returned")*N('Checkout Log'!$B$3:$B$302)))</f>
        <v>1</v>
      </c>
      <c r="D10" s="11" t="s">
        <v>75</v>
      </c>
      <c r="E10" s="9" t="str">
        <f aca="false">IF(D10="","",IFERROR(VLOOKUP(D10,Bins!$A:$B,2,0),"—"))</f>
        <v>C1</v>
      </c>
      <c r="F10" s="9" t="s">
        <v>300</v>
      </c>
      <c r="G10" s="11"/>
      <c r="H10" s="11">
        <v>1</v>
      </c>
    </row>
    <row r="11" customFormat="false" ht="15" hidden="false" customHeight="false" outlineLevel="0" collapsed="false">
      <c r="A11" s="13" t="s">
        <v>304</v>
      </c>
      <c r="B11" s="13"/>
      <c r="C11" s="13" t="n">
        <f aca="false">IF(A11="","",H11-SUMPRODUCT(('Checkout Log'!$A$3:$A$302=A11)*('Checkout Log'!$K$3:$K$302&lt;&gt;"Returned")*N('Checkout Log'!$B$3:$B$302)))</f>
        <v>4</v>
      </c>
      <c r="D11" s="13" t="s">
        <v>75</v>
      </c>
      <c r="E11" s="8" t="str">
        <f aca="false">IF(D11="","",IFERROR(VLOOKUP(D11,Bins!$A:$B,2,0),"—"))</f>
        <v>C1</v>
      </c>
      <c r="F11" s="8" t="s">
        <v>300</v>
      </c>
      <c r="G11" s="13"/>
      <c r="H11" s="13">
        <v>4</v>
      </c>
    </row>
    <row r="12" customFormat="false" ht="15" hidden="false" customHeight="false" outlineLevel="0" collapsed="false">
      <c r="A12" s="11" t="s">
        <v>305</v>
      </c>
      <c r="B12" s="11"/>
      <c r="C12" s="11" t="n">
        <f aca="false">IF(A12="","",H12-SUMPRODUCT(('Checkout Log'!$A$3:$A$302=A12)*('Checkout Log'!$K$3:$K$302&lt;&gt;"Returned")*N('Checkout Log'!$B$3:$B$302)))</f>
        <v>11</v>
      </c>
      <c r="D12" s="11" t="s">
        <v>77</v>
      </c>
      <c r="E12" s="9" t="str">
        <f aca="false">IF(D12="","",IFERROR(VLOOKUP(D12,Bins!$A:$B,2,0),"—"))</f>
        <v>C2</v>
      </c>
      <c r="F12" s="9" t="s">
        <v>300</v>
      </c>
      <c r="G12" s="11"/>
      <c r="H12" s="11">
        <v>11</v>
      </c>
    </row>
    <row r="13" customFormat="false" ht="15" hidden="false" customHeight="false" outlineLevel="0" collapsed="false">
      <c r="A13" s="13" t="s">
        <v>306</v>
      </c>
      <c r="B13" s="13"/>
      <c r="C13" s="13" t="n">
        <f aca="false">IF(A13="","",H13-SUMPRODUCT(('Checkout Log'!$A$3:$A$302=A13)*('Checkout Log'!$K$3:$K$302&lt;&gt;"Returned")*N('Checkout Log'!$B$3:$B$302)))</f>
        <v>5</v>
      </c>
      <c r="D13" s="13" t="s">
        <v>77</v>
      </c>
      <c r="E13" s="8" t="str">
        <f aca="false">IF(D13="","",IFERROR(VLOOKUP(D13,Bins!$A:$B,2,0),"—"))</f>
        <v>C2</v>
      </c>
      <c r="F13" s="8" t="s">
        <v>300</v>
      </c>
      <c r="G13" s="13"/>
      <c r="H13" s="13">
        <v>5</v>
      </c>
    </row>
    <row r="14" customFormat="false" ht="15" hidden="false" customHeight="false" outlineLevel="0" collapsed="false">
      <c r="A14" s="11" t="s">
        <v>130</v>
      </c>
      <c r="B14" s="11"/>
      <c r="C14" s="11" t="n">
        <f aca="false">IF(A14="","",H14-SUMPRODUCT(('Checkout Log'!$A$3:$A$302=A14)*('Checkout Log'!$K$3:$K$302&lt;&gt;"Returned")*N('Checkout Log'!$B$3:$B$302)))</f>
        <v>20</v>
      </c>
      <c r="D14" s="11" t="s">
        <v>130</v>
      </c>
      <c r="E14" s="9" t="str">
        <f aca="false">IF(D14="","",IFERROR(VLOOKUP(D14,Bins!$A:$B,2,0),"—"))</f>
        <v>C7</v>
      </c>
      <c r="F14" s="9" t="s">
        <v>300</v>
      </c>
      <c r="G14" s="11"/>
      <c r="H14" s="11">
        <v>20</v>
      </c>
    </row>
    <row r="15" customFormat="false" ht="15" hidden="false" customHeight="false" outlineLevel="0" collapsed="false">
      <c r="A15" s="13" t="s">
        <v>87</v>
      </c>
      <c r="B15" s="13"/>
      <c r="C15" s="13" t="n">
        <f aca="false">IF(A15="","",H15-SUMPRODUCT(('Checkout Log'!$A$3:$A$302=A15)*('Checkout Log'!$K$3:$K$302&lt;&gt;"Returned")*N('Checkout Log'!$B$3:$B$302)))</f>
        <v>10</v>
      </c>
      <c r="D15" s="13" t="s">
        <v>87</v>
      </c>
      <c r="E15" s="8" t="str">
        <f aca="false">IF(D15="","",IFERROR(VLOOKUP(D15,Bins!$A:$B,2,0),"—"))</f>
        <v>C2</v>
      </c>
      <c r="F15" s="8" t="s">
        <v>300</v>
      </c>
      <c r="G15" s="13"/>
      <c r="H15" s="13">
        <v>10</v>
      </c>
    </row>
    <row r="16" customFormat="false" ht="15" hidden="false" customHeight="false" outlineLevel="0" collapsed="false">
      <c r="A16" s="11" t="s">
        <v>307</v>
      </c>
      <c r="B16" s="11"/>
      <c r="C16" s="11" t="n">
        <f aca="false">IF(A16="","",H16-SUMPRODUCT(('Checkout Log'!$A$3:$A$302=A16)*('Checkout Log'!$K$3:$K$302&lt;&gt;"Returned")*N('Checkout Log'!$B$3:$B$302)))</f>
        <v>14</v>
      </c>
      <c r="D16" s="11" t="s">
        <v>82</v>
      </c>
      <c r="E16" s="9" t="str">
        <f aca="false">IF(D16="","",IFERROR(VLOOKUP(D16,Bins!$A:$B,2,0),"—"))</f>
        <v>C2</v>
      </c>
      <c r="F16" s="9" t="s">
        <v>300</v>
      </c>
      <c r="G16" s="11"/>
      <c r="H16" s="11">
        <v>14</v>
      </c>
    </row>
    <row r="17" customFormat="false" ht="15" hidden="false" customHeight="false" outlineLevel="0" collapsed="false">
      <c r="A17" s="13" t="s">
        <v>81</v>
      </c>
      <c r="B17" s="13"/>
      <c r="C17" s="13" t="n">
        <f aca="false">IF(A17="","",H17-SUMPRODUCT(('Checkout Log'!$A$3:$A$302=A17)*('Checkout Log'!$K$3:$K$302&lt;&gt;"Returned")*N('Checkout Log'!$B$3:$B$302)))</f>
        <v>10</v>
      </c>
      <c r="D17" s="13" t="s">
        <v>81</v>
      </c>
      <c r="E17" s="8" t="str">
        <f aca="false">IF(D17="","",IFERROR(VLOOKUP(D17,Bins!$A:$B,2,0),"—"))</f>
        <v>C2</v>
      </c>
      <c r="F17" s="8" t="s">
        <v>300</v>
      </c>
      <c r="G17" s="13"/>
      <c r="H17" s="13">
        <v>10</v>
      </c>
    </row>
    <row r="18" customFormat="false" ht="15" hidden="false" customHeight="false" outlineLevel="0" collapsed="false">
      <c r="A18" s="11" t="s">
        <v>143</v>
      </c>
      <c r="B18" s="11"/>
      <c r="C18" s="11" t="n">
        <f aca="false">IF(A18="","",H18-SUMPRODUCT(('Checkout Log'!$A$3:$A$302=A18)*('Checkout Log'!$K$3:$K$302&lt;&gt;"Returned")*N('Checkout Log'!$B$3:$B$302)))</f>
        <v>0</v>
      </c>
      <c r="D18" s="11" t="s">
        <v>143</v>
      </c>
      <c r="E18" s="9" t="str">
        <f aca="false">IF(D18="","",IFERROR(VLOOKUP(D18,Bins!$A:$B,2,0),"—"))</f>
        <v>C3</v>
      </c>
      <c r="F18" s="9" t="s">
        <v>300</v>
      </c>
      <c r="G18" s="11"/>
      <c r="H18" s="11">
        <v>0</v>
      </c>
    </row>
    <row r="19" customFormat="false" ht="15" hidden="false" customHeight="false" outlineLevel="0" collapsed="false">
      <c r="A19" s="13" t="s">
        <v>144</v>
      </c>
      <c r="B19" s="13"/>
      <c r="C19" s="13" t="n">
        <f aca="false">IF(A19="","",H19-SUMPRODUCT(('Checkout Log'!$A$3:$A$302=A19)*('Checkout Log'!$K$3:$K$302&lt;&gt;"Returned")*N('Checkout Log'!$B$3:$B$302)))</f>
        <v>0</v>
      </c>
      <c r="D19" s="13" t="s">
        <v>144</v>
      </c>
      <c r="E19" s="8" t="str">
        <f aca="false">IF(D19="","",IFERROR(VLOOKUP(D19,Bins!$A:$B,2,0),"—"))</f>
        <v>C3</v>
      </c>
      <c r="F19" s="8" t="s">
        <v>300</v>
      </c>
      <c r="G19" s="13"/>
      <c r="H19" s="13">
        <v>0</v>
      </c>
    </row>
    <row r="20" customFormat="false" ht="15" hidden="false" customHeight="false" outlineLevel="0" collapsed="false">
      <c r="A20" s="11" t="s">
        <v>308</v>
      </c>
      <c r="B20" s="11"/>
      <c r="C20" s="11" t="n">
        <f aca="false">IF(A20="","",H20-SUMPRODUCT(('Checkout Log'!$A$3:$A$302=A20)*('Checkout Log'!$K$3:$K$302&lt;&gt;"Returned")*N('Checkout Log'!$B$3:$B$302)))</f>
        <v>0</v>
      </c>
      <c r="D20" s="11" t="s">
        <v>140</v>
      </c>
      <c r="E20" s="9" t="str">
        <f aca="false">IF(D20="","",IFERROR(VLOOKUP(D20,Bins!$A:$B,2,0),"—"))</f>
        <v>C3</v>
      </c>
      <c r="F20" s="9" t="s">
        <v>300</v>
      </c>
      <c r="G20" s="11"/>
      <c r="H20" s="11">
        <v>0</v>
      </c>
    </row>
    <row r="21" customFormat="false" ht="15" hidden="false" customHeight="false" outlineLevel="0" collapsed="false">
      <c r="A21" s="13" t="s">
        <v>141</v>
      </c>
      <c r="B21" s="13"/>
      <c r="C21" s="13" t="n">
        <f aca="false">IF(A21="","",H21-SUMPRODUCT(('Checkout Log'!$A$3:$A$302=A21)*('Checkout Log'!$K$3:$K$302&lt;&gt;"Returned")*N('Checkout Log'!$B$3:$B$302)))</f>
        <v>0</v>
      </c>
      <c r="D21" s="13" t="s">
        <v>141</v>
      </c>
      <c r="E21" s="8" t="str">
        <f aca="false">IF(D21="","",IFERROR(VLOOKUP(D21,Bins!$A:$B,2,0),"—"))</f>
        <v>C3</v>
      </c>
      <c r="F21" s="8" t="s">
        <v>300</v>
      </c>
      <c r="G21" s="13"/>
      <c r="H21" s="13">
        <v>0</v>
      </c>
    </row>
    <row r="22" customFormat="false" ht="15" hidden="false" customHeight="false" outlineLevel="0" collapsed="false">
      <c r="A22" s="11" t="s">
        <v>309</v>
      </c>
      <c r="B22" s="11"/>
      <c r="C22" s="11" t="n">
        <f aca="false">IF(A22="","",H22-SUMPRODUCT(('Checkout Log'!$A$3:$A$302=A22)*('Checkout Log'!$K$3:$K$302&lt;&gt;"Returned")*N('Checkout Log'!$B$3:$B$302)))</f>
        <v>6</v>
      </c>
      <c r="D22" s="11" t="s">
        <v>142</v>
      </c>
      <c r="E22" s="9" t="str">
        <f aca="false">IF(D22="","",IFERROR(VLOOKUP(D22,Bins!$A:$B,2,0),"—"))</f>
        <v>C3</v>
      </c>
      <c r="F22" s="9" t="s">
        <v>300</v>
      </c>
      <c r="G22" s="11"/>
      <c r="H22" s="11">
        <v>6</v>
      </c>
    </row>
    <row r="23" customFormat="false" ht="15" hidden="false" customHeight="false" outlineLevel="0" collapsed="false">
      <c r="A23" s="13" t="s">
        <v>137</v>
      </c>
      <c r="B23" s="13"/>
      <c r="C23" s="13" t="n">
        <f aca="false">IF(A23="","",H23-SUMPRODUCT(('Checkout Log'!$A$3:$A$302=A23)*('Checkout Log'!$K$3:$K$302&lt;&gt;"Returned")*N('Checkout Log'!$B$3:$B$302)))</f>
        <v>0</v>
      </c>
      <c r="D23" s="13" t="s">
        <v>137</v>
      </c>
      <c r="E23" s="8" t="str">
        <f aca="false">IF(D23="","",IFERROR(VLOOKUP(D23,Bins!$A:$B,2,0),"—"))</f>
        <v>C3</v>
      </c>
      <c r="F23" s="8" t="s">
        <v>300</v>
      </c>
      <c r="G23" s="13"/>
      <c r="H23" s="13">
        <v>0</v>
      </c>
    </row>
    <row r="24" customFormat="false" ht="15" hidden="false" customHeight="false" outlineLevel="0" collapsed="false">
      <c r="A24" s="11" t="s">
        <v>310</v>
      </c>
      <c r="B24" s="11"/>
      <c r="C24" s="11" t="n">
        <f aca="false">IF(A24="","",H24-SUMPRODUCT(('Checkout Log'!$A$3:$A$302=A24)*('Checkout Log'!$K$3:$K$302&lt;&gt;"Returned")*N('Checkout Log'!$B$3:$B$302)))</f>
        <v>0</v>
      </c>
      <c r="D24" s="11" t="s">
        <v>139</v>
      </c>
      <c r="E24" s="9" t="str">
        <f aca="false">IF(D24="","",IFERROR(VLOOKUP(D24,Bins!$A:$B,2,0),"—"))</f>
        <v>C3</v>
      </c>
      <c r="F24" s="9" t="s">
        <v>300</v>
      </c>
      <c r="G24" s="11"/>
      <c r="H24" s="11">
        <v>0</v>
      </c>
    </row>
    <row r="25" customFormat="false" ht="15" hidden="false" customHeight="false" outlineLevel="0" collapsed="false">
      <c r="A25" s="13" t="s">
        <v>138</v>
      </c>
      <c r="B25" s="13"/>
      <c r="C25" s="13" t="n">
        <f aca="false">IF(A25="","",H25-SUMPRODUCT(('Checkout Log'!$A$3:$A$302=A25)*('Checkout Log'!$K$3:$K$302&lt;&gt;"Returned")*N('Checkout Log'!$B$3:$B$302)))</f>
        <v>2</v>
      </c>
      <c r="D25" s="13" t="s">
        <v>138</v>
      </c>
      <c r="E25" s="8" t="str">
        <f aca="false">IF(D25="","",IFERROR(VLOOKUP(D25,Bins!$A:$B,2,0),"—"))</f>
        <v>C3</v>
      </c>
      <c r="F25" s="8" t="s">
        <v>300</v>
      </c>
      <c r="G25" s="13"/>
      <c r="H25" s="13">
        <v>2</v>
      </c>
    </row>
    <row r="26" customFormat="false" ht="15" hidden="false" customHeight="false" outlineLevel="0" collapsed="false">
      <c r="A26" s="11" t="s">
        <v>311</v>
      </c>
      <c r="B26" s="11"/>
      <c r="C26" s="11" t="n">
        <f aca="false">IF(A26="","",H26-SUMPRODUCT(('Checkout Log'!$A$3:$A$302=A26)*('Checkout Log'!$K$3:$K$302&lt;&gt;"Returned")*N('Checkout Log'!$B$3:$B$302)))</f>
        <v>0</v>
      </c>
      <c r="D26" s="11" t="s">
        <v>145</v>
      </c>
      <c r="E26" s="9" t="str">
        <f aca="false">IF(D26="","",IFERROR(VLOOKUP(D26,Bins!$A:$B,2,0),"—"))</f>
        <v>C3</v>
      </c>
      <c r="F26" s="9" t="s">
        <v>300</v>
      </c>
      <c r="G26" s="11"/>
      <c r="H26" s="11">
        <v>0</v>
      </c>
    </row>
    <row r="27" customFormat="false" ht="15" hidden="false" customHeight="false" outlineLevel="0" collapsed="false">
      <c r="A27" s="13" t="s">
        <v>312</v>
      </c>
      <c r="B27" s="13"/>
      <c r="C27" s="13" t="n">
        <f aca="false">IF(A27="","",H27-SUMPRODUCT(('Checkout Log'!$A$3:$A$302=A27)*('Checkout Log'!$K$3:$K$302&lt;&gt;"Returned")*N('Checkout Log'!$B$3:$B$302)))</f>
        <v>1</v>
      </c>
      <c r="D27" s="13" t="s">
        <v>146</v>
      </c>
      <c r="E27" s="8" t="str">
        <f aca="false">IF(D27="","",IFERROR(VLOOKUP(D27,Bins!$A:$B,2,0),"—"))</f>
        <v>C3</v>
      </c>
      <c r="F27" s="8" t="s">
        <v>300</v>
      </c>
      <c r="G27" s="13"/>
      <c r="H27" s="13">
        <v>1</v>
      </c>
    </row>
    <row r="28" customFormat="false" ht="15" hidden="false" customHeight="false" outlineLevel="0" collapsed="false">
      <c r="A28" s="11" t="s">
        <v>313</v>
      </c>
      <c r="B28" s="11"/>
      <c r="C28" s="11" t="n">
        <f aca="false">IF(A28="","",H28-SUMPRODUCT(('Checkout Log'!$A$3:$A$302=A28)*('Checkout Log'!$K$3:$K$302&lt;&gt;"Returned")*N('Checkout Log'!$B$3:$B$302)))</f>
        <v>4</v>
      </c>
      <c r="D28" s="11" t="s">
        <v>118</v>
      </c>
      <c r="E28" s="9" t="str">
        <f aca="false">IF(D28="","",IFERROR(VLOOKUP(D28,Bins!$A:$B,2,0),"—"))</f>
        <v>C5</v>
      </c>
      <c r="F28" s="9" t="s">
        <v>300</v>
      </c>
      <c r="G28" s="11"/>
      <c r="H28" s="11">
        <v>4</v>
      </c>
    </row>
    <row r="29" customFormat="false" ht="15" hidden="false" customHeight="false" outlineLevel="0" collapsed="false">
      <c r="A29" s="13" t="s">
        <v>314</v>
      </c>
      <c r="B29" s="13"/>
      <c r="C29" s="13" t="n">
        <f aca="false">IF(A29="","",H29-SUMPRODUCT(('Checkout Log'!$A$3:$A$302=A29)*('Checkout Log'!$K$3:$K$302&lt;&gt;"Returned")*N('Checkout Log'!$B$3:$B$302)))</f>
        <v>6</v>
      </c>
      <c r="D29" s="13" t="s">
        <v>123</v>
      </c>
      <c r="E29" s="8" t="str">
        <f aca="false">IF(D29="","",IFERROR(VLOOKUP(D29,Bins!$A:$B,2,0),"—"))</f>
        <v>C6</v>
      </c>
      <c r="F29" s="8" t="s">
        <v>300</v>
      </c>
      <c r="G29" s="13"/>
      <c r="H29" s="13">
        <v>6</v>
      </c>
    </row>
    <row r="30" customFormat="false" ht="15" hidden="false" customHeight="false" outlineLevel="0" collapsed="false">
      <c r="A30" s="11" t="s">
        <v>315</v>
      </c>
      <c r="B30" s="11"/>
      <c r="C30" s="11" t="n">
        <f aca="false">IF(A30="","",H30-SUMPRODUCT(('Checkout Log'!$A$3:$A$302=A30)*('Checkout Log'!$K$3:$K$302&lt;&gt;"Returned")*N('Checkout Log'!$B$3:$B$302)))</f>
        <v>22</v>
      </c>
      <c r="D30" s="11" t="s">
        <v>123</v>
      </c>
      <c r="E30" s="9" t="str">
        <f aca="false">IF(D30="","",IFERROR(VLOOKUP(D30,Bins!$A:$B,2,0),"—"))</f>
        <v>C6</v>
      </c>
      <c r="F30" s="9" t="s">
        <v>300</v>
      </c>
      <c r="G30" s="11"/>
      <c r="H30" s="11">
        <v>22</v>
      </c>
    </row>
    <row r="31" customFormat="false" ht="15" hidden="false" customHeight="false" outlineLevel="0" collapsed="false">
      <c r="A31" s="13" t="s">
        <v>316</v>
      </c>
      <c r="B31" s="13"/>
      <c r="C31" s="13" t="n">
        <f aca="false">IF(A31="","",H31-SUMPRODUCT(('Checkout Log'!$A$3:$A$302=A31)*('Checkout Log'!$K$3:$K$302&lt;&gt;"Returned")*N('Checkout Log'!$B$3:$B$302)))</f>
        <v>15</v>
      </c>
      <c r="D31" s="13" t="s">
        <v>134</v>
      </c>
      <c r="E31" s="8" t="str">
        <f aca="false">IF(D31="","",IFERROR(VLOOKUP(D31,Bins!$A:$B,2,0),"—"))</f>
        <v>C7</v>
      </c>
      <c r="F31" s="8" t="s">
        <v>300</v>
      </c>
      <c r="G31" s="13"/>
      <c r="H31" s="13">
        <v>15</v>
      </c>
    </row>
    <row r="32" customFormat="false" ht="15" hidden="false" customHeight="false" outlineLevel="0" collapsed="false">
      <c r="A32" s="11" t="s">
        <v>131</v>
      </c>
      <c r="B32" s="11"/>
      <c r="C32" s="11" t="n">
        <f aca="false">IF(A32="","",H32-SUMPRODUCT(('Checkout Log'!$A$3:$A$302=A32)*('Checkout Log'!$K$3:$K$302&lt;&gt;"Returned")*N('Checkout Log'!$B$3:$B$302)))</f>
        <v>15</v>
      </c>
      <c r="D32" s="11" t="s">
        <v>131</v>
      </c>
      <c r="E32" s="9" t="str">
        <f aca="false">IF(D32="","",IFERROR(VLOOKUP(D32,Bins!$A:$B,2,0),"—"))</f>
        <v>C7</v>
      </c>
      <c r="F32" s="9" t="s">
        <v>300</v>
      </c>
      <c r="G32" s="11"/>
      <c r="H32" s="11">
        <v>15</v>
      </c>
    </row>
    <row r="33" customFormat="false" ht="15" hidden="false" customHeight="false" outlineLevel="0" collapsed="false">
      <c r="A33" s="13" t="s">
        <v>317</v>
      </c>
      <c r="B33" s="13"/>
      <c r="C33" s="13" t="n">
        <f aca="false">IF(A33="","",H33-SUMPRODUCT(('Checkout Log'!$A$3:$A$302=A33)*('Checkout Log'!$K$3:$K$302&lt;&gt;"Returned")*N('Checkout Log'!$B$3:$B$302)))</f>
        <v>4</v>
      </c>
      <c r="D33" s="13" t="s">
        <v>72</v>
      </c>
      <c r="E33" s="8" t="str">
        <f aca="false">IF(D33="","",IFERROR(VLOOKUP(D33,Bins!$A:$B,2,0),"—"))</f>
        <v>C1</v>
      </c>
      <c r="F33" s="8" t="s">
        <v>300</v>
      </c>
      <c r="G33" s="13"/>
      <c r="H33" s="13">
        <v>4</v>
      </c>
    </row>
    <row r="34" customFormat="false" ht="15" hidden="false" customHeight="false" outlineLevel="0" collapsed="false">
      <c r="A34" s="11" t="s">
        <v>318</v>
      </c>
      <c r="B34" s="11"/>
      <c r="C34" s="11" t="n">
        <f aca="false">IF(A34="","",H34-SUMPRODUCT(('Checkout Log'!$A$3:$A$302=A34)*('Checkout Log'!$K$3:$K$302&lt;&gt;"Returned")*N('Checkout Log'!$B$3:$B$302)))</f>
        <v>15</v>
      </c>
      <c r="D34" s="11" t="s">
        <v>71</v>
      </c>
      <c r="E34" s="9" t="str">
        <f aca="false">IF(D34="","",IFERROR(VLOOKUP(D34,Bins!$A:$B,2,0),"—"))</f>
        <v>C1</v>
      </c>
      <c r="F34" s="9" t="s">
        <v>300</v>
      </c>
      <c r="G34" s="11"/>
      <c r="H34" s="11">
        <v>15</v>
      </c>
    </row>
    <row r="35" customFormat="false" ht="15" hidden="false" customHeight="false" outlineLevel="0" collapsed="false">
      <c r="A35" s="13" t="s">
        <v>319</v>
      </c>
      <c r="B35" s="13"/>
      <c r="C35" s="13" t="n">
        <f aca="false">IF(A35="","",H35-SUMPRODUCT(('Checkout Log'!$A$3:$A$302=A35)*('Checkout Log'!$K$3:$K$302&lt;&gt;"Returned")*N('Checkout Log'!$B$3:$B$302)))</f>
        <v>7</v>
      </c>
      <c r="D35" s="13" t="s">
        <v>70</v>
      </c>
      <c r="E35" s="8" t="str">
        <f aca="false">IF(D35="","",IFERROR(VLOOKUP(D35,Bins!$A:$B,2,0),"—"))</f>
        <v>C1</v>
      </c>
      <c r="F35" s="8" t="s">
        <v>300</v>
      </c>
      <c r="G35" s="13"/>
      <c r="H35" s="13">
        <v>7</v>
      </c>
    </row>
    <row r="36" customFormat="false" ht="15" hidden="false" customHeight="false" outlineLevel="0" collapsed="false">
      <c r="A36" s="11" t="s">
        <v>320</v>
      </c>
      <c r="B36" s="11"/>
      <c r="C36" s="11" t="n">
        <f aca="false">IF(A36="","",H36-SUMPRODUCT(('Checkout Log'!$A$3:$A$302=A36)*('Checkout Log'!$K$3:$K$302&lt;&gt;"Returned")*N('Checkout Log'!$B$3:$B$302)))</f>
        <v>1</v>
      </c>
      <c r="D36" s="11" t="s">
        <v>70</v>
      </c>
      <c r="E36" s="9" t="str">
        <f aca="false">IF(D36="","",IFERROR(VLOOKUP(D36,Bins!$A:$B,2,0),"—"))</f>
        <v>C1</v>
      </c>
      <c r="F36" s="9" t="s">
        <v>300</v>
      </c>
      <c r="G36" s="11"/>
      <c r="H36" s="11">
        <v>1</v>
      </c>
    </row>
    <row r="37" customFormat="false" ht="15" hidden="false" customHeight="false" outlineLevel="0" collapsed="false">
      <c r="A37" s="13" t="s">
        <v>321</v>
      </c>
      <c r="B37" s="13"/>
      <c r="C37" s="13" t="n">
        <f aca="false">IF(A37="","",H37-SUMPRODUCT(('Checkout Log'!$A$3:$A$302=A37)*('Checkout Log'!$K$3:$K$302&lt;&gt;"Returned")*N('Checkout Log'!$B$3:$B$302)))</f>
        <v>15</v>
      </c>
      <c r="D37" s="13" t="s">
        <v>74</v>
      </c>
      <c r="E37" s="8" t="str">
        <f aca="false">IF(D37="","",IFERROR(VLOOKUP(D37,Bins!$A:$B,2,0),"—"))</f>
        <v>C1</v>
      </c>
      <c r="F37" s="8" t="s">
        <v>300</v>
      </c>
      <c r="G37" s="13"/>
      <c r="H37" s="13">
        <v>15</v>
      </c>
    </row>
    <row r="38" customFormat="false" ht="15" hidden="false" customHeight="false" outlineLevel="0" collapsed="false">
      <c r="A38" s="11" t="s">
        <v>322</v>
      </c>
      <c r="B38" s="11"/>
      <c r="C38" s="11" t="n">
        <f aca="false">IF(A38="","",H38-SUMPRODUCT(('Checkout Log'!$A$3:$A$302=A38)*('Checkout Log'!$K$3:$K$302&lt;&gt;"Returned")*N('Checkout Log'!$B$3:$B$302)))</f>
        <v>7</v>
      </c>
      <c r="D38" s="11" t="s">
        <v>78</v>
      </c>
      <c r="E38" s="9" t="str">
        <f aca="false">IF(D38="","",IFERROR(VLOOKUP(D38,Bins!$A:$B,2,0),"—"))</f>
        <v>C2</v>
      </c>
      <c r="F38" s="9" t="s">
        <v>300</v>
      </c>
      <c r="G38" s="11"/>
      <c r="H38" s="11">
        <v>7</v>
      </c>
    </row>
    <row r="39" customFormat="false" ht="15" hidden="false" customHeight="false" outlineLevel="0" collapsed="false">
      <c r="A39" s="13" t="s">
        <v>323</v>
      </c>
      <c r="B39" s="13"/>
      <c r="C39" s="13" t="n">
        <f aca="false">IF(A39="","",H39-SUMPRODUCT(('Checkout Log'!$A$3:$A$302=A39)*('Checkout Log'!$K$3:$K$302&lt;&gt;"Returned")*N('Checkout Log'!$B$3:$B$302)))</f>
        <v>5</v>
      </c>
      <c r="D39" s="13" t="s">
        <v>79</v>
      </c>
      <c r="E39" s="8" t="str">
        <f aca="false">IF(D39="","",IFERROR(VLOOKUP(D39,Bins!$A:$B,2,0),"—"))</f>
        <v>C2</v>
      </c>
      <c r="F39" s="8" t="s">
        <v>300</v>
      </c>
      <c r="G39" s="13"/>
      <c r="H39" s="13">
        <v>5</v>
      </c>
    </row>
    <row r="40" customFormat="false" ht="15" hidden="false" customHeight="false" outlineLevel="0" collapsed="false">
      <c r="A40" s="11" t="s">
        <v>324</v>
      </c>
      <c r="B40" s="11"/>
      <c r="C40" s="11" t="n">
        <f aca="false">IF(A40="","",H40-SUMPRODUCT(('Checkout Log'!$A$3:$A$302=A40)*('Checkout Log'!$K$3:$K$302&lt;&gt;"Returned")*N('Checkout Log'!$B$3:$B$302)))</f>
        <v>2</v>
      </c>
      <c r="D40" s="11" t="s">
        <v>88</v>
      </c>
      <c r="E40" s="9" t="str">
        <f aca="false">IF(D40="","",IFERROR(VLOOKUP(D40,Bins!$A:$B,2,0),"—"))</f>
        <v>C2</v>
      </c>
      <c r="F40" s="9" t="s">
        <v>300</v>
      </c>
      <c r="G40" s="11" t="s">
        <v>325</v>
      </c>
      <c r="H40" s="11">
        <v>4</v>
      </c>
    </row>
    <row r="41" customFormat="false" ht="15" hidden="false" customHeight="false" outlineLevel="0" collapsed="false">
      <c r="A41" s="13" t="s">
        <v>326</v>
      </c>
      <c r="B41" s="13"/>
      <c r="C41" s="13" t="n">
        <f aca="false">IF(A41="","",H41-SUMPRODUCT(('Checkout Log'!$A$3:$A$302=A41)*('Checkout Log'!$K$3:$K$302&lt;&gt;"Returned")*N('Checkout Log'!$B$3:$B$302)))</f>
        <v>2</v>
      </c>
      <c r="D41" s="13" t="s">
        <v>88</v>
      </c>
      <c r="E41" s="8" t="str">
        <f aca="false">IF(D41="","",IFERROR(VLOOKUP(D41,Bins!$A:$B,2,0),"—"))</f>
        <v>C2</v>
      </c>
      <c r="F41" s="8" t="s">
        <v>300</v>
      </c>
      <c r="G41" s="13"/>
      <c r="H41" s="13">
        <v>2</v>
      </c>
    </row>
    <row r="42" customFormat="false" ht="15" hidden="false" customHeight="false" outlineLevel="0" collapsed="false">
      <c r="A42" s="11" t="s">
        <v>327</v>
      </c>
      <c r="B42" s="11"/>
      <c r="C42" s="11" t="n">
        <f aca="false">IF(A42="","",H42-SUMPRODUCT(('Checkout Log'!$A$3:$A$302=A42)*('Checkout Log'!$K$3:$K$302&lt;&gt;"Returned")*N('Checkout Log'!$B$3:$B$302)))</f>
        <v>1</v>
      </c>
      <c r="D42" s="11" t="s">
        <v>88</v>
      </c>
      <c r="E42" s="9" t="str">
        <f aca="false">IF(D42="","",IFERROR(VLOOKUP(D42,Bins!$A:$B,2,0),"—"))</f>
        <v>C2</v>
      </c>
      <c r="F42" s="9" t="s">
        <v>300</v>
      </c>
      <c r="G42" s="11"/>
      <c r="H42" s="11">
        <v>1</v>
      </c>
    </row>
    <row r="43" customFormat="false" ht="15" hidden="false" customHeight="false" outlineLevel="0" collapsed="false">
      <c r="A43" s="13" t="s">
        <v>328</v>
      </c>
      <c r="B43" s="13"/>
      <c r="C43" s="13" t="n">
        <f aca="false">IF(A43="","",H43-SUMPRODUCT(('Checkout Log'!$A$3:$A$302=A43)*('Checkout Log'!$K$3:$K$302&lt;&gt;"Returned")*N('Checkout Log'!$B$3:$B$302)))</f>
        <v>5</v>
      </c>
      <c r="D43" s="13" t="s">
        <v>88</v>
      </c>
      <c r="E43" s="8" t="str">
        <f aca="false">IF(D43="","",IFERROR(VLOOKUP(D43,Bins!$A:$B,2,0),"—"))</f>
        <v>C2</v>
      </c>
      <c r="F43" s="8" t="s">
        <v>300</v>
      </c>
      <c r="G43" s="13"/>
      <c r="H43" s="13">
        <v>5</v>
      </c>
    </row>
    <row r="44" customFormat="false" ht="15" hidden="false" customHeight="false" outlineLevel="0" collapsed="false">
      <c r="A44" s="11" t="s">
        <v>329</v>
      </c>
      <c r="B44" s="11"/>
      <c r="C44" s="11" t="n">
        <f aca="false">IF(A44="","",H44-SUMPRODUCT(('Checkout Log'!$A$3:$A$302=A44)*('Checkout Log'!$K$3:$K$302&lt;&gt;"Returned")*N('Checkout Log'!$B$3:$B$302)))</f>
        <v>25</v>
      </c>
      <c r="D44" s="11" t="s">
        <v>89</v>
      </c>
      <c r="E44" s="9" t="str">
        <f aca="false">IF(D44="","",IFERROR(VLOOKUP(D44,Bins!$A:$B,2,0),"—"))</f>
        <v>C2</v>
      </c>
      <c r="F44" s="9" t="s">
        <v>300</v>
      </c>
      <c r="G44" s="11"/>
      <c r="H44" s="11">
        <v>25</v>
      </c>
    </row>
    <row r="45" customFormat="false" ht="15" hidden="false" customHeight="false" outlineLevel="0" collapsed="false">
      <c r="A45" s="13" t="s">
        <v>330</v>
      </c>
      <c r="B45" s="13"/>
      <c r="C45" s="13" t="n">
        <f aca="false">IF(A45="","",H45-SUMPRODUCT(('Checkout Log'!$A$3:$A$302=A45)*('Checkout Log'!$K$3:$K$302&lt;&gt;"Returned")*N('Checkout Log'!$B$3:$B$302)))</f>
        <v>9</v>
      </c>
      <c r="D45" s="13" t="s">
        <v>89</v>
      </c>
      <c r="E45" s="8" t="str">
        <f aca="false">IF(D45="","",IFERROR(VLOOKUP(D45,Bins!$A:$B,2,0),"—"))</f>
        <v>C2</v>
      </c>
      <c r="F45" s="8" t="s">
        <v>300</v>
      </c>
      <c r="G45" s="13"/>
      <c r="H45" s="13">
        <v>9</v>
      </c>
    </row>
    <row r="46" customFormat="false" ht="15" hidden="false" customHeight="false" outlineLevel="0" collapsed="false">
      <c r="A46" s="11" t="s">
        <v>331</v>
      </c>
      <c r="B46" s="11"/>
      <c r="C46" s="11" t="n">
        <f aca="false">IF(A46="","",H46-SUMPRODUCT(('Checkout Log'!$A$3:$A$302=A46)*('Checkout Log'!$K$3:$K$302&lt;&gt;"Returned")*N('Checkout Log'!$B$3:$B$302)))</f>
        <v>10</v>
      </c>
      <c r="D46" s="11" t="s">
        <v>90</v>
      </c>
      <c r="E46" s="9" t="n">
        <f aca="false">IF(D46="","",IFERROR(VLOOKUP(D46,Bins!$A:$B,2,0),"—"))</f>
        <v>0</v>
      </c>
      <c r="F46" s="9" t="s">
        <v>300</v>
      </c>
      <c r="G46" s="11"/>
      <c r="H46" s="11">
        <v>10</v>
      </c>
    </row>
    <row r="47" customFormat="false" ht="15" hidden="false" customHeight="false" outlineLevel="0" collapsed="false">
      <c r="A47" s="13" t="s">
        <v>332</v>
      </c>
      <c r="B47" s="13"/>
      <c r="C47" s="13" t="n">
        <f aca="false">IF(A47="","",H47-SUMPRODUCT(('Checkout Log'!$A$3:$A$302=A47)*('Checkout Log'!$K$3:$K$302&lt;&gt;"Returned")*N('Checkout Log'!$B$3:$B$302)))</f>
        <v>2</v>
      </c>
      <c r="D47" s="13"/>
      <c r="E47" s="8" t="str">
        <f aca="false">IF(D47="","",IFERROR(VLOOKUP(D47,Bins!$A:$B,2,0),"—"))</f>
        <v/>
      </c>
      <c r="F47" s="8" t="s">
        <v>300</v>
      </c>
      <c r="G47" s="13"/>
      <c r="H47" s="13">
        <v>2</v>
      </c>
    </row>
    <row r="48" customFormat="false" ht="15" hidden="false" customHeight="false" outlineLevel="0" collapsed="false">
      <c r="A48" s="11" t="s">
        <v>333</v>
      </c>
      <c r="B48" s="11"/>
      <c r="C48" s="11" t="n">
        <f aca="false">IF(A48="","",H48-SUMPRODUCT(('Checkout Log'!$A$3:$A$302=A48)*('Checkout Log'!$K$3:$K$302&lt;&gt;"Returned")*N('Checkout Log'!$B$3:$B$302)))</f>
        <v>1</v>
      </c>
      <c r="D48" s="11" t="s">
        <v>91</v>
      </c>
      <c r="E48" s="9" t="str">
        <f aca="false">IF(D48="","",IFERROR(VLOOKUP(D48,Bins!$A:$B,2,0),"—"))</f>
        <v>C2</v>
      </c>
      <c r="F48" s="9" t="s">
        <v>300</v>
      </c>
      <c r="G48" s="11"/>
      <c r="H48" s="11">
        <v>1</v>
      </c>
    </row>
    <row r="49" customFormat="false" ht="15" hidden="false" customHeight="false" outlineLevel="0" collapsed="false">
      <c r="A49" s="13" t="s">
        <v>334</v>
      </c>
      <c r="B49" s="13"/>
      <c r="C49" s="13" t="n">
        <f aca="false">IF(A49="","",H49-SUMPRODUCT(('Checkout Log'!$A$3:$A$302=A49)*('Checkout Log'!$K$3:$K$302&lt;&gt;"Returned")*N('Checkout Log'!$B$3:$B$302)))</f>
        <v>1</v>
      </c>
      <c r="D49" s="13" t="s">
        <v>91</v>
      </c>
      <c r="E49" s="8" t="str">
        <f aca="false">IF(D49="","",IFERROR(VLOOKUP(D49,Bins!$A:$B,2,0),"—"))</f>
        <v>C2</v>
      </c>
      <c r="F49" s="8" t="s">
        <v>300</v>
      </c>
      <c r="G49" s="13"/>
      <c r="H49" s="13">
        <v>1</v>
      </c>
    </row>
    <row r="50" customFormat="false" ht="15" hidden="false" customHeight="false" outlineLevel="0" collapsed="false">
      <c r="A50" s="11" t="s">
        <v>335</v>
      </c>
      <c r="B50" s="11"/>
      <c r="C50" s="11" t="n">
        <f aca="false">IF(A50="","",H50-SUMPRODUCT(('Checkout Log'!$A$3:$A$302=A50)*('Checkout Log'!$K$3:$K$302&lt;&gt;"Returned")*N('Checkout Log'!$B$3:$B$302)))</f>
        <v>0</v>
      </c>
      <c r="D50" s="11" t="s">
        <v>91</v>
      </c>
      <c r="E50" s="9" t="str">
        <f aca="false">IF(D50="","",IFERROR(VLOOKUP(D50,Bins!$A:$B,2,0),"—"))</f>
        <v>C2</v>
      </c>
      <c r="F50" s="9" t="s">
        <v>300</v>
      </c>
      <c r="G50" s="11"/>
      <c r="H50" s="11">
        <v>0</v>
      </c>
    </row>
    <row r="51" customFormat="false" ht="15" hidden="false" customHeight="false" outlineLevel="0" collapsed="false">
      <c r="A51" s="13" t="s">
        <v>336</v>
      </c>
      <c r="B51" s="13"/>
      <c r="C51" s="13" t="n">
        <f aca="false">IF(A51="","",H51-SUMPRODUCT(('Checkout Log'!$A$3:$A$302=A51)*('Checkout Log'!$K$3:$K$302&lt;&gt;"Returned")*N('Checkout Log'!$B$3:$B$302)))</f>
        <v>0</v>
      </c>
      <c r="D51" s="13" t="s">
        <v>88</v>
      </c>
      <c r="E51" s="8" t="str">
        <f aca="false">IF(D51="","",IFERROR(VLOOKUP(D51,Bins!$A:$B,2,0),"—"))</f>
        <v>C2</v>
      </c>
      <c r="F51" s="8" t="s">
        <v>300</v>
      </c>
      <c r="G51" s="13" t="s">
        <v>337</v>
      </c>
      <c r="H51" s="13">
        <v>3</v>
      </c>
    </row>
    <row r="52" customFormat="false" ht="15" hidden="false" customHeight="false" outlineLevel="0" collapsed="false">
      <c r="A52" s="11" t="s">
        <v>338</v>
      </c>
      <c r="B52" s="11"/>
      <c r="C52" s="11" t="n">
        <f aca="false">IF(A52="","",H52-SUMPRODUCT(('Checkout Log'!$A$3:$A$302=A52)*('Checkout Log'!$K$3:$K$302&lt;&gt;"Returned")*N('Checkout Log'!$B$3:$B$302)))</f>
        <v>1</v>
      </c>
      <c r="D52" s="11" t="s">
        <v>148</v>
      </c>
      <c r="E52" s="9" t="str">
        <f aca="false">IF(D52="","",IFERROR(VLOOKUP(D52,Bins!$A:$B,2,0),"—"))</f>
        <v>C3</v>
      </c>
      <c r="F52" s="9" t="s">
        <v>300</v>
      </c>
      <c r="G52" s="11"/>
      <c r="H52" s="11">
        <v>1</v>
      </c>
    </row>
    <row r="53" customFormat="false" ht="15" hidden="false" customHeight="false" outlineLevel="0" collapsed="false">
      <c r="A53" s="13" t="s">
        <v>339</v>
      </c>
      <c r="B53" s="13"/>
      <c r="C53" s="13" t="n">
        <f aca="false">IF(A53="","",H53-SUMPRODUCT(('Checkout Log'!$A$3:$A$302=A53)*('Checkout Log'!$K$3:$K$302&lt;&gt;"Returned")*N('Checkout Log'!$B$3:$B$302)))</f>
        <v>0</v>
      </c>
      <c r="D53" s="13" t="s">
        <v>148</v>
      </c>
      <c r="E53" s="8" t="str">
        <f aca="false">IF(D53="","",IFERROR(VLOOKUP(D53,Bins!$A:$B,2,0),"—"))</f>
        <v>C3</v>
      </c>
      <c r="F53" s="8" t="s">
        <v>300</v>
      </c>
      <c r="G53" s="13"/>
      <c r="H53" s="13">
        <v>0</v>
      </c>
    </row>
    <row r="54" customFormat="false" ht="15" hidden="false" customHeight="false" outlineLevel="0" collapsed="false">
      <c r="A54" s="11" t="s">
        <v>340</v>
      </c>
      <c r="B54" s="11"/>
      <c r="C54" s="11" t="n">
        <f aca="false">IF(A54="","",H54-SUMPRODUCT(('Checkout Log'!$A$3:$A$302=A54)*('Checkout Log'!$K$3:$K$302&lt;&gt;"Returned")*N('Checkout Log'!$B$3:$B$302)))</f>
        <v>5</v>
      </c>
      <c r="D54" s="11" t="s">
        <v>148</v>
      </c>
      <c r="E54" s="9" t="str">
        <f aca="false">IF(D54="","",IFERROR(VLOOKUP(D54,Bins!$A:$B,2,0),"—"))</f>
        <v>C3</v>
      </c>
      <c r="F54" s="9" t="s">
        <v>300</v>
      </c>
      <c r="G54" s="11"/>
      <c r="H54" s="11">
        <v>5</v>
      </c>
    </row>
    <row r="55" customFormat="false" ht="15" hidden="false" customHeight="false" outlineLevel="0" collapsed="false">
      <c r="A55" s="13" t="s">
        <v>341</v>
      </c>
      <c r="B55" s="13"/>
      <c r="C55" s="13" t="n">
        <f aca="false">IF(A55="","",H55-SUMPRODUCT(('Checkout Log'!$A$3:$A$302=A55)*('Checkout Log'!$K$3:$K$302&lt;&gt;"Returned")*N('Checkout Log'!$B$3:$B$302)))</f>
        <v>2</v>
      </c>
      <c r="D55" s="13" t="s">
        <v>148</v>
      </c>
      <c r="E55" s="8" t="str">
        <f aca="false">IF(D55="","",IFERROR(VLOOKUP(D55,Bins!$A:$B,2,0),"—"))</f>
        <v>C3</v>
      </c>
      <c r="F55" s="8" t="s">
        <v>300</v>
      </c>
      <c r="G55" s="13"/>
      <c r="H55" s="13">
        <v>2</v>
      </c>
    </row>
    <row r="56" customFormat="false" ht="15" hidden="false" customHeight="false" outlineLevel="0" collapsed="false">
      <c r="A56" s="11" t="s">
        <v>342</v>
      </c>
      <c r="B56" s="11"/>
      <c r="C56" s="11" t="n">
        <f aca="false">IF(A56="","",H56-SUMPRODUCT(('Checkout Log'!$A$3:$A$302=A56)*('Checkout Log'!$K$3:$K$302&lt;&gt;"Returned")*N('Checkout Log'!$B$3:$B$302)))</f>
        <v>2</v>
      </c>
      <c r="D56" s="11" t="s">
        <v>149</v>
      </c>
      <c r="E56" s="9" t="str">
        <f aca="false">IF(D56="","",IFERROR(VLOOKUP(D56,Bins!$A:$B,2,0),"—"))</f>
        <v>C3</v>
      </c>
      <c r="F56" s="9" t="s">
        <v>300</v>
      </c>
      <c r="G56" s="11"/>
      <c r="H56" s="11">
        <v>2</v>
      </c>
    </row>
    <row r="57" customFormat="false" ht="15" hidden="false" customHeight="false" outlineLevel="0" collapsed="false">
      <c r="A57" s="13" t="s">
        <v>343</v>
      </c>
      <c r="B57" s="13"/>
      <c r="C57" s="13" t="n">
        <f aca="false">IF(A57="","",H57-SUMPRODUCT(('Checkout Log'!$A$3:$A$302=A57)*('Checkout Log'!$K$3:$K$302&lt;&gt;"Returned")*N('Checkout Log'!$B$3:$B$302)))</f>
        <v>2</v>
      </c>
      <c r="D57" s="13" t="s">
        <v>149</v>
      </c>
      <c r="E57" s="8" t="str">
        <f aca="false">IF(D57="","",IFERROR(VLOOKUP(D57,Bins!$A:$B,2,0),"—"))</f>
        <v>C3</v>
      </c>
      <c r="F57" s="8" t="s">
        <v>300</v>
      </c>
      <c r="G57" s="13"/>
      <c r="H57" s="13">
        <v>2</v>
      </c>
    </row>
    <row r="58" customFormat="false" ht="15" hidden="false" customHeight="false" outlineLevel="0" collapsed="false">
      <c r="A58" s="11" t="s">
        <v>344</v>
      </c>
      <c r="B58" s="11"/>
      <c r="C58" s="11" t="n">
        <f aca="false">IF(A58="","",H58-SUMPRODUCT(('Checkout Log'!$A$3:$A$302=A58)*('Checkout Log'!$K$3:$K$302&lt;&gt;"Returned")*N('Checkout Log'!$B$3:$B$302)))</f>
        <v>2</v>
      </c>
      <c r="D58" s="11" t="s">
        <v>149</v>
      </c>
      <c r="E58" s="9" t="str">
        <f aca="false">IF(D58="","",IFERROR(VLOOKUP(D58,Bins!$A:$B,2,0),"—"))</f>
        <v>C3</v>
      </c>
      <c r="F58" s="9" t="s">
        <v>300</v>
      </c>
      <c r="G58" s="11"/>
      <c r="H58" s="11">
        <v>2</v>
      </c>
    </row>
    <row r="59" customFormat="false" ht="15" hidden="false" customHeight="false" outlineLevel="0" collapsed="false">
      <c r="A59" s="13" t="s">
        <v>345</v>
      </c>
      <c r="B59" s="13"/>
      <c r="C59" s="13" t="n">
        <f aca="false">IF(A59="","",H59-SUMPRODUCT(('Checkout Log'!$A$3:$A$302=A59)*('Checkout Log'!$K$3:$K$302&lt;&gt;"Returned")*N('Checkout Log'!$B$3:$B$302)))</f>
        <v>2</v>
      </c>
      <c r="D59" s="13" t="s">
        <v>149</v>
      </c>
      <c r="E59" s="8" t="str">
        <f aca="false">IF(D59="","",IFERROR(VLOOKUP(D59,Bins!$A:$B,2,0),"—"))</f>
        <v>C3</v>
      </c>
      <c r="F59" s="8" t="s">
        <v>300</v>
      </c>
      <c r="G59" s="13"/>
      <c r="H59" s="13">
        <v>2</v>
      </c>
    </row>
    <row r="60" customFormat="false" ht="15" hidden="false" customHeight="false" outlineLevel="0" collapsed="false">
      <c r="A60" s="11" t="s">
        <v>346</v>
      </c>
      <c r="B60" s="11"/>
      <c r="C60" s="11" t="n">
        <f aca="false">IF(A60="","",H60-SUMPRODUCT(('Checkout Log'!$A$3:$A$302=A60)*('Checkout Log'!$K$3:$K$302&lt;&gt;"Returned")*N('Checkout Log'!$B$3:$B$302)))</f>
        <v>2</v>
      </c>
      <c r="D60" s="11" t="s">
        <v>149</v>
      </c>
      <c r="E60" s="9" t="str">
        <f aca="false">IF(D60="","",IFERROR(VLOOKUP(D60,Bins!$A:$B,2,0),"—"))</f>
        <v>C3</v>
      </c>
      <c r="F60" s="9" t="s">
        <v>300</v>
      </c>
      <c r="G60" s="11"/>
      <c r="H60" s="11">
        <v>2</v>
      </c>
    </row>
    <row r="61" customFormat="false" ht="15" hidden="false" customHeight="false" outlineLevel="0" collapsed="false">
      <c r="A61" s="13" t="s">
        <v>347</v>
      </c>
      <c r="B61" s="13"/>
      <c r="C61" s="13" t="n">
        <f aca="false">IF(A61="","",H61-SUMPRODUCT(('Checkout Log'!$A$3:$A$302=A61)*('Checkout Log'!$K$3:$K$302&lt;&gt;"Returned")*N('Checkout Log'!$B$3:$B$302)))</f>
        <v>0</v>
      </c>
      <c r="D61" s="13" t="s">
        <v>149</v>
      </c>
      <c r="E61" s="8" t="str">
        <f aca="false">IF(D61="","",IFERROR(VLOOKUP(D61,Bins!$A:$B,2,0),"—"))</f>
        <v>C3</v>
      </c>
      <c r="F61" s="8" t="s">
        <v>300</v>
      </c>
      <c r="G61" s="13"/>
      <c r="H61" s="13">
        <v>0</v>
      </c>
    </row>
    <row r="62" customFormat="false" ht="15" hidden="false" customHeight="false" outlineLevel="0" collapsed="false">
      <c r="A62" s="11" t="s">
        <v>348</v>
      </c>
      <c r="B62" s="11"/>
      <c r="C62" s="11" t="n">
        <f aca="false">IF(A62="","",H62-SUMPRODUCT(('Checkout Log'!$A$3:$A$302=A62)*('Checkout Log'!$K$3:$K$302&lt;&gt;"Returned")*N('Checkout Log'!$B$3:$B$302)))</f>
        <v>0</v>
      </c>
      <c r="D62" s="11" t="s">
        <v>150</v>
      </c>
      <c r="E62" s="9" t="str">
        <f aca="false">IF(D62="","",IFERROR(VLOOKUP(D62,Bins!$A:$B,2,0),"—"))</f>
        <v>C3</v>
      </c>
      <c r="F62" s="9" t="s">
        <v>300</v>
      </c>
      <c r="G62" s="11"/>
      <c r="H62" s="11">
        <v>0</v>
      </c>
    </row>
    <row r="63" customFormat="false" ht="15" hidden="false" customHeight="false" outlineLevel="0" collapsed="false">
      <c r="A63" s="13" t="s">
        <v>349</v>
      </c>
      <c r="B63" s="13"/>
      <c r="C63" s="13" t="n">
        <f aca="false">IF(A63="","",H63-SUMPRODUCT(('Checkout Log'!$A$3:$A$302=A63)*('Checkout Log'!$K$3:$K$302&lt;&gt;"Returned")*N('Checkout Log'!$B$3:$B$302)))</f>
        <v>5</v>
      </c>
      <c r="D63" s="13" t="s">
        <v>150</v>
      </c>
      <c r="E63" s="8" t="str">
        <f aca="false">IF(D63="","",IFERROR(VLOOKUP(D63,Bins!$A:$B,2,0),"—"))</f>
        <v>C3</v>
      </c>
      <c r="F63" s="8" t="s">
        <v>300</v>
      </c>
      <c r="G63" s="13"/>
      <c r="H63" s="13">
        <v>5</v>
      </c>
    </row>
    <row r="64" customFormat="false" ht="15" hidden="false" customHeight="false" outlineLevel="0" collapsed="false">
      <c r="A64" s="11" t="s">
        <v>350</v>
      </c>
      <c r="B64" s="11"/>
      <c r="C64" s="11" t="n">
        <f aca="false">IF(A64="","",H64-SUMPRODUCT(('Checkout Log'!$A$3:$A$302=A64)*('Checkout Log'!$K$3:$K$302&lt;&gt;"Returned")*N('Checkout Log'!$B$3:$B$302)))</f>
        <v>18</v>
      </c>
      <c r="D64" s="11" t="s">
        <v>150</v>
      </c>
      <c r="E64" s="9" t="str">
        <f aca="false">IF(D64="","",IFERROR(VLOOKUP(D64,Bins!$A:$B,2,0),"—"))</f>
        <v>C3</v>
      </c>
      <c r="F64" s="9" t="s">
        <v>300</v>
      </c>
      <c r="G64" s="11"/>
      <c r="H64" s="11">
        <v>18</v>
      </c>
    </row>
    <row r="65" customFormat="false" ht="15" hidden="false" customHeight="false" outlineLevel="0" collapsed="false">
      <c r="A65" s="13" t="s">
        <v>351</v>
      </c>
      <c r="B65" s="13"/>
      <c r="C65" s="13" t="n">
        <f aca="false">IF(A65="","",H65-SUMPRODUCT(('Checkout Log'!$A$3:$A$302=A65)*('Checkout Log'!$K$3:$K$302&lt;&gt;"Returned")*N('Checkout Log'!$B$3:$B$302)))</f>
        <v>5</v>
      </c>
      <c r="D65" s="13" t="s">
        <v>151</v>
      </c>
      <c r="E65" s="8" t="str">
        <f aca="false">IF(D65="","",IFERROR(VLOOKUP(D65,Bins!$A:$B,2,0),"—"))</f>
        <v>C3</v>
      </c>
      <c r="F65" s="8" t="s">
        <v>300</v>
      </c>
      <c r="G65" s="13"/>
      <c r="H65" s="13">
        <v>5</v>
      </c>
    </row>
    <row r="66" customFormat="false" ht="15" hidden="false" customHeight="false" outlineLevel="0" collapsed="false">
      <c r="A66" s="11" t="s">
        <v>352</v>
      </c>
      <c r="B66" s="11"/>
      <c r="C66" s="11" t="n">
        <f aca="false">IF(A66="","",H66-SUMPRODUCT(('Checkout Log'!$A$3:$A$302=A66)*('Checkout Log'!$K$3:$K$302&lt;&gt;"Returned")*N('Checkout Log'!$B$3:$B$302)))</f>
        <v>0</v>
      </c>
      <c r="D66" s="11" t="s">
        <v>151</v>
      </c>
      <c r="E66" s="9" t="str">
        <f aca="false">IF(D66="","",IFERROR(VLOOKUP(D66,Bins!$A:$B,2,0),"—"))</f>
        <v>C3</v>
      </c>
      <c r="F66" s="9" t="s">
        <v>300</v>
      </c>
      <c r="G66" s="11"/>
      <c r="H66" s="11">
        <v>0</v>
      </c>
    </row>
    <row r="67" customFormat="false" ht="15" hidden="false" customHeight="false" outlineLevel="0" collapsed="false">
      <c r="A67" s="13" t="s">
        <v>353</v>
      </c>
      <c r="B67" s="13"/>
      <c r="C67" s="13" t="n">
        <f aca="false">IF(A67="","",H67-SUMPRODUCT(('Checkout Log'!$A$3:$A$302=A67)*('Checkout Log'!$K$3:$K$302&lt;&gt;"Returned")*N('Checkout Log'!$B$3:$B$302)))</f>
        <v>0</v>
      </c>
      <c r="D67" s="13" t="s">
        <v>151</v>
      </c>
      <c r="E67" s="8" t="str">
        <f aca="false">IF(D67="","",IFERROR(VLOOKUP(D67,Bins!$A:$B,2,0),"—"))</f>
        <v>C3</v>
      </c>
      <c r="F67" s="8" t="s">
        <v>300</v>
      </c>
      <c r="G67" s="13"/>
      <c r="H67" s="13">
        <v>0</v>
      </c>
    </row>
    <row r="68" customFormat="false" ht="15" hidden="false" customHeight="false" outlineLevel="0" collapsed="false">
      <c r="A68" s="11" t="s">
        <v>354</v>
      </c>
      <c r="B68" s="11"/>
      <c r="C68" s="11" t="n">
        <f aca="false">IF(A68="","",H68-SUMPRODUCT(('Checkout Log'!$A$3:$A$302=A68)*('Checkout Log'!$K$3:$K$302&lt;&gt;"Returned")*N('Checkout Log'!$B$3:$B$302)))</f>
        <v>2</v>
      </c>
      <c r="D68" s="11" t="s">
        <v>152</v>
      </c>
      <c r="E68" s="9" t="str">
        <f aca="false">IF(D68="","",IFERROR(VLOOKUP(D68,Bins!$A:$B,2,0),"—"))</f>
        <v>C3</v>
      </c>
      <c r="F68" s="9" t="s">
        <v>300</v>
      </c>
      <c r="G68" s="11"/>
      <c r="H68" s="11">
        <v>2</v>
      </c>
    </row>
    <row r="69" customFormat="false" ht="15" hidden="false" customHeight="false" outlineLevel="0" collapsed="false">
      <c r="A69" s="13" t="s">
        <v>355</v>
      </c>
      <c r="B69" s="13"/>
      <c r="C69" s="13" t="n">
        <f aca="false">IF(A69="","",H69-SUMPRODUCT(('Checkout Log'!$A$3:$A$302=A69)*('Checkout Log'!$K$3:$K$302&lt;&gt;"Returned")*N('Checkout Log'!$B$3:$B$302)))</f>
        <v>1</v>
      </c>
      <c r="D69" s="13" t="s">
        <v>152</v>
      </c>
      <c r="E69" s="8" t="str">
        <f aca="false">IF(D69="","",IFERROR(VLOOKUP(D69,Bins!$A:$B,2,0),"—"))</f>
        <v>C3</v>
      </c>
      <c r="F69" s="8" t="s">
        <v>300</v>
      </c>
      <c r="G69" s="13"/>
      <c r="H69" s="13">
        <v>1</v>
      </c>
    </row>
    <row r="70" customFormat="false" ht="15" hidden="false" customHeight="false" outlineLevel="0" collapsed="false">
      <c r="A70" s="11" t="s">
        <v>356</v>
      </c>
      <c r="B70" s="11"/>
      <c r="C70" s="11" t="n">
        <f aca="false">IF(A70="","",H70-SUMPRODUCT(('Checkout Log'!$A$3:$A$302=A70)*('Checkout Log'!$K$3:$K$302&lt;&gt;"Returned")*N('Checkout Log'!$B$3:$B$302)))</f>
        <v>0</v>
      </c>
      <c r="D70" s="11" t="s">
        <v>152</v>
      </c>
      <c r="E70" s="9" t="str">
        <f aca="false">IF(D70="","",IFERROR(VLOOKUP(D70,Bins!$A:$B,2,0),"—"))</f>
        <v>C3</v>
      </c>
      <c r="F70" s="9" t="s">
        <v>300</v>
      </c>
      <c r="G70" s="11"/>
      <c r="H70" s="11">
        <v>0</v>
      </c>
    </row>
    <row r="71" customFormat="false" ht="15" hidden="false" customHeight="false" outlineLevel="0" collapsed="false">
      <c r="A71" s="13" t="s">
        <v>357</v>
      </c>
      <c r="B71" s="13"/>
      <c r="C71" s="13" t="n">
        <f aca="false">IF(A71="","",H71-SUMPRODUCT(('Checkout Log'!$A$3:$A$302=A71)*('Checkout Log'!$K$3:$K$302&lt;&gt;"Returned")*N('Checkout Log'!$B$3:$B$302)))</f>
        <v>6</v>
      </c>
      <c r="D71" s="13" t="s">
        <v>153</v>
      </c>
      <c r="E71" s="8" t="str">
        <f aca="false">IF(D71="","",IFERROR(VLOOKUP(D71,Bins!$A:$B,2,0),"—"))</f>
        <v>C3</v>
      </c>
      <c r="F71" s="8" t="s">
        <v>300</v>
      </c>
      <c r="G71" s="13"/>
      <c r="H71" s="13">
        <v>6</v>
      </c>
    </row>
    <row r="72" customFormat="false" ht="15" hidden="false" customHeight="false" outlineLevel="0" collapsed="false">
      <c r="A72" s="11" t="s">
        <v>358</v>
      </c>
      <c r="B72" s="11"/>
      <c r="C72" s="11" t="n">
        <f aca="false">IF(A72="","",H72-SUMPRODUCT(('Checkout Log'!$A$3:$A$302=A72)*('Checkout Log'!$K$3:$K$302&lt;&gt;"Returned")*N('Checkout Log'!$B$3:$B$302)))</f>
        <v>0</v>
      </c>
      <c r="D72" s="11" t="s">
        <v>153</v>
      </c>
      <c r="E72" s="9" t="str">
        <f aca="false">IF(D72="","",IFERROR(VLOOKUP(D72,Bins!$A:$B,2,0),"—"))</f>
        <v>C3</v>
      </c>
      <c r="F72" s="9" t="s">
        <v>300</v>
      </c>
      <c r="G72" s="11"/>
      <c r="H72" s="11">
        <v>0</v>
      </c>
    </row>
    <row r="73" customFormat="false" ht="15" hidden="false" customHeight="false" outlineLevel="0" collapsed="false">
      <c r="A73" s="13" t="s">
        <v>359</v>
      </c>
      <c r="B73" s="13"/>
      <c r="C73" s="13" t="n">
        <f aca="false">IF(A73="","",H73-SUMPRODUCT(('Checkout Log'!$A$3:$A$302=A73)*('Checkout Log'!$K$3:$K$302&lt;&gt;"Returned")*N('Checkout Log'!$B$3:$B$302)))</f>
        <v>9</v>
      </c>
      <c r="D73" s="13" t="s">
        <v>153</v>
      </c>
      <c r="E73" s="8" t="str">
        <f aca="false">IF(D73="","",IFERROR(VLOOKUP(D73,Bins!$A:$B,2,0),"—"))</f>
        <v>C3</v>
      </c>
      <c r="F73" s="8" t="s">
        <v>300</v>
      </c>
      <c r="G73" s="13"/>
      <c r="H73" s="13">
        <v>9</v>
      </c>
    </row>
    <row r="74" customFormat="false" ht="15" hidden="false" customHeight="false" outlineLevel="0" collapsed="false">
      <c r="A74" s="11" t="s">
        <v>360</v>
      </c>
      <c r="B74" s="11"/>
      <c r="C74" s="11" t="n">
        <f aca="false">IF(A74="","",H74-SUMPRODUCT(('Checkout Log'!$A$3:$A$302=A74)*('Checkout Log'!$K$3:$K$302&lt;&gt;"Returned")*N('Checkout Log'!$B$3:$B$302)))</f>
        <v>0</v>
      </c>
      <c r="D74" s="11" t="s">
        <v>154</v>
      </c>
      <c r="E74" s="9" t="str">
        <f aca="false">IF(D74="","",IFERROR(VLOOKUP(D74,Bins!$A:$B,2,0),"—"))</f>
        <v>C3</v>
      </c>
      <c r="F74" s="9" t="s">
        <v>300</v>
      </c>
      <c r="G74" s="11"/>
      <c r="H74" s="11">
        <v>0</v>
      </c>
    </row>
    <row r="75" customFormat="false" ht="15" hidden="false" customHeight="false" outlineLevel="0" collapsed="false">
      <c r="A75" s="13" t="s">
        <v>361</v>
      </c>
      <c r="B75" s="13"/>
      <c r="C75" s="13" t="n">
        <f aca="false">IF(A75="","",H75-SUMPRODUCT(('Checkout Log'!$A$3:$A$302=A75)*('Checkout Log'!$K$3:$K$302&lt;&gt;"Returned")*N('Checkout Log'!$B$3:$B$302)))</f>
        <v>4</v>
      </c>
      <c r="D75" s="13" t="s">
        <v>154</v>
      </c>
      <c r="E75" s="8" t="str">
        <f aca="false">IF(D75="","",IFERROR(VLOOKUP(D75,Bins!$A:$B,2,0),"—"))</f>
        <v>C3</v>
      </c>
      <c r="F75" s="8" t="s">
        <v>300</v>
      </c>
      <c r="G75" s="13"/>
      <c r="H75" s="13">
        <v>4</v>
      </c>
    </row>
    <row r="76" customFormat="false" ht="15" hidden="false" customHeight="false" outlineLevel="0" collapsed="false">
      <c r="A76" s="11" t="s">
        <v>362</v>
      </c>
      <c r="B76" s="11"/>
      <c r="C76" s="11" t="n">
        <f aca="false">IF(A76="","",H76-SUMPRODUCT(('Checkout Log'!$A$3:$A$302=A76)*('Checkout Log'!$K$3:$K$302&lt;&gt;"Returned")*N('Checkout Log'!$B$3:$B$302)))</f>
        <v>1</v>
      </c>
      <c r="D76" s="11" t="s">
        <v>154</v>
      </c>
      <c r="E76" s="9" t="str">
        <f aca="false">IF(D76="","",IFERROR(VLOOKUP(D76,Bins!$A:$B,2,0),"—"))</f>
        <v>C3</v>
      </c>
      <c r="F76" s="9" t="s">
        <v>300</v>
      </c>
      <c r="G76" s="11"/>
      <c r="H76" s="11">
        <v>1</v>
      </c>
    </row>
    <row r="77" customFormat="false" ht="15" hidden="false" customHeight="false" outlineLevel="0" collapsed="false">
      <c r="A77" s="13" t="s">
        <v>363</v>
      </c>
      <c r="B77" s="13"/>
      <c r="C77" s="13" t="n">
        <f aca="false">IF(A77="","",H77-SUMPRODUCT(('Checkout Log'!$A$3:$A$302=A77)*('Checkout Log'!$K$3:$K$302&lt;&gt;"Returned")*N('Checkout Log'!$B$3:$B$302)))</f>
        <v>1</v>
      </c>
      <c r="D77" s="13" t="s">
        <v>158</v>
      </c>
      <c r="E77" s="8" t="str">
        <f aca="false">IF(D77="","",IFERROR(VLOOKUP(D77,Bins!$A:$B,2,0),"—"))</f>
        <v>C3</v>
      </c>
      <c r="F77" s="8" t="s">
        <v>300</v>
      </c>
      <c r="G77" s="13"/>
      <c r="H77" s="13">
        <v>1</v>
      </c>
    </row>
    <row r="78" customFormat="false" ht="15" hidden="false" customHeight="false" outlineLevel="0" collapsed="false">
      <c r="A78" s="11" t="s">
        <v>364</v>
      </c>
      <c r="B78" s="11"/>
      <c r="C78" s="11" t="n">
        <f aca="false">IF(A78="","",H78-SUMPRODUCT(('Checkout Log'!$A$3:$A$302=A78)*('Checkout Log'!$K$3:$K$302&lt;&gt;"Returned")*N('Checkout Log'!$B$3:$B$302)))</f>
        <v>0</v>
      </c>
      <c r="D78" s="11" t="s">
        <v>158</v>
      </c>
      <c r="E78" s="9" t="str">
        <f aca="false">IF(D78="","",IFERROR(VLOOKUP(D78,Bins!$A:$B,2,0),"—"))</f>
        <v>C3</v>
      </c>
      <c r="F78" s="9" t="s">
        <v>300</v>
      </c>
      <c r="G78" s="11"/>
      <c r="H78" s="11">
        <v>0</v>
      </c>
    </row>
    <row r="79" customFormat="false" ht="15" hidden="false" customHeight="false" outlineLevel="0" collapsed="false">
      <c r="A79" s="13" t="s">
        <v>365</v>
      </c>
      <c r="B79" s="13"/>
      <c r="C79" s="13" t="n">
        <f aca="false">IF(A79="","",H79-SUMPRODUCT(('Checkout Log'!$A$3:$A$302=A79)*('Checkout Log'!$K$3:$K$302&lt;&gt;"Returned")*N('Checkout Log'!$B$3:$B$302)))</f>
        <v>1</v>
      </c>
      <c r="D79" s="13" t="s">
        <v>158</v>
      </c>
      <c r="E79" s="8" t="str">
        <f aca="false">IF(D79="","",IFERROR(VLOOKUP(D79,Bins!$A:$B,2,0),"—"))</f>
        <v>C3</v>
      </c>
      <c r="F79" s="8" t="s">
        <v>300</v>
      </c>
      <c r="G79" s="13"/>
      <c r="H79" s="13">
        <v>1</v>
      </c>
    </row>
    <row r="80" customFormat="false" ht="15" hidden="false" customHeight="false" outlineLevel="0" collapsed="false">
      <c r="A80" s="11" t="s">
        <v>366</v>
      </c>
      <c r="B80" s="11"/>
      <c r="C80" s="11" t="n">
        <f aca="false">IF(A80="","",H80-SUMPRODUCT(('Checkout Log'!$A$3:$A$302=A80)*('Checkout Log'!$K$3:$K$302&lt;&gt;"Returned")*N('Checkout Log'!$B$3:$B$302)))</f>
        <v>2</v>
      </c>
      <c r="D80" s="11" t="s">
        <v>159</v>
      </c>
      <c r="E80" s="9" t="str">
        <f aca="false">IF(D80="","",IFERROR(VLOOKUP(D80,Bins!$A:$B,2,0),"—"))</f>
        <v>C3</v>
      </c>
      <c r="F80" s="9" t="s">
        <v>300</v>
      </c>
      <c r="G80" s="11"/>
      <c r="H80" s="11">
        <v>2</v>
      </c>
    </row>
    <row r="81" customFormat="false" ht="15" hidden="false" customHeight="false" outlineLevel="0" collapsed="false">
      <c r="A81" s="13" t="s">
        <v>367</v>
      </c>
      <c r="B81" s="13"/>
      <c r="C81" s="13" t="n">
        <f aca="false">IF(A81="","",H81-SUMPRODUCT(('Checkout Log'!$A$3:$A$302=A81)*('Checkout Log'!$K$3:$K$302&lt;&gt;"Returned")*N('Checkout Log'!$B$3:$B$302)))</f>
        <v>1</v>
      </c>
      <c r="D81" s="13" t="s">
        <v>159</v>
      </c>
      <c r="E81" s="8" t="str">
        <f aca="false">IF(D81="","",IFERROR(VLOOKUP(D81,Bins!$A:$B,2,0),"—"))</f>
        <v>C3</v>
      </c>
      <c r="F81" s="8" t="s">
        <v>300</v>
      </c>
      <c r="G81" s="13"/>
      <c r="H81" s="13">
        <v>1</v>
      </c>
    </row>
    <row r="82" customFormat="false" ht="15" hidden="false" customHeight="false" outlineLevel="0" collapsed="false">
      <c r="A82" s="11" t="s">
        <v>160</v>
      </c>
      <c r="B82" s="11"/>
      <c r="C82" s="11" t="n">
        <f aca="false">IF(A82="","",H82-SUMPRODUCT(('Checkout Log'!$A$3:$A$302=A82)*('Checkout Log'!$K$3:$K$302&lt;&gt;"Returned")*N('Checkout Log'!$B$3:$B$302)))</f>
        <v>6</v>
      </c>
      <c r="D82" s="11" t="s">
        <v>160</v>
      </c>
      <c r="E82" s="9" t="str">
        <f aca="false">IF(D82="","",IFERROR(VLOOKUP(D82,Bins!$A:$B,2,0),"—"))</f>
        <v>C3</v>
      </c>
      <c r="F82" s="9" t="s">
        <v>300</v>
      </c>
      <c r="G82" s="11"/>
      <c r="H82" s="11">
        <v>6</v>
      </c>
    </row>
    <row r="83" customFormat="false" ht="15" hidden="false" customHeight="false" outlineLevel="0" collapsed="false">
      <c r="A83" s="13" t="s">
        <v>368</v>
      </c>
      <c r="B83" s="13"/>
      <c r="C83" s="13" t="n">
        <f aca="false">IF(A83="","",H83-SUMPRODUCT(('Checkout Log'!$A$3:$A$302=A83)*('Checkout Log'!$K$3:$K$302&lt;&gt;"Returned")*N('Checkout Log'!$B$3:$B$302)))</f>
        <v>4</v>
      </c>
      <c r="D83" s="13" t="s">
        <v>161</v>
      </c>
      <c r="E83" s="8" t="str">
        <f aca="false">IF(D83="","",IFERROR(VLOOKUP(D83,Bins!$A:$B,2,0),"—"))</f>
        <v>C3</v>
      </c>
      <c r="F83" s="8" t="s">
        <v>300</v>
      </c>
      <c r="G83" s="13"/>
      <c r="H83" s="13">
        <v>4</v>
      </c>
    </row>
    <row r="84" customFormat="false" ht="15" hidden="false" customHeight="false" outlineLevel="0" collapsed="false">
      <c r="A84" s="11" t="s">
        <v>369</v>
      </c>
      <c r="B84" s="11"/>
      <c r="C84" s="11" t="n">
        <f aca="false">IF(A84="","",H84-SUMPRODUCT(('Checkout Log'!$A$3:$A$302=A84)*('Checkout Log'!$K$3:$K$302&lt;&gt;"Returned")*N('Checkout Log'!$B$3:$B$302)))</f>
        <v>5</v>
      </c>
      <c r="D84" s="11" t="s">
        <v>161</v>
      </c>
      <c r="E84" s="9" t="str">
        <f aca="false">IF(D84="","",IFERROR(VLOOKUP(D84,Bins!$A:$B,2,0),"—"))</f>
        <v>C3</v>
      </c>
      <c r="F84" s="9" t="s">
        <v>300</v>
      </c>
      <c r="G84" s="11"/>
      <c r="H84" s="11">
        <v>5</v>
      </c>
    </row>
    <row r="85" customFormat="false" ht="15" hidden="false" customHeight="false" outlineLevel="0" collapsed="false">
      <c r="A85" s="13" t="s">
        <v>162</v>
      </c>
      <c r="B85" s="13"/>
      <c r="C85" s="13" t="n">
        <f aca="false">IF(A85="","",H85-SUMPRODUCT(('Checkout Log'!$A$3:$A$302=A85)*('Checkout Log'!$K$3:$K$302&lt;&gt;"Returned")*N('Checkout Log'!$B$3:$B$302)))</f>
        <v>11</v>
      </c>
      <c r="D85" s="13" t="s">
        <v>162</v>
      </c>
      <c r="E85" s="8" t="str">
        <f aca="false">IF(D85="","",IFERROR(VLOOKUP(D85,Bins!$A:$B,2,0),"—"))</f>
        <v>C3</v>
      </c>
      <c r="F85" s="8" t="s">
        <v>300</v>
      </c>
      <c r="G85" s="13"/>
      <c r="H85" s="13">
        <v>11</v>
      </c>
    </row>
    <row r="86" customFormat="false" ht="15" hidden="false" customHeight="false" outlineLevel="0" collapsed="false">
      <c r="A86" s="11" t="s">
        <v>163</v>
      </c>
      <c r="B86" s="11"/>
      <c r="C86" s="11" t="n">
        <f aca="false">IF(A86="","",H86-SUMPRODUCT(('Checkout Log'!$A$3:$A$302=A86)*('Checkout Log'!$K$3:$K$302&lt;&gt;"Returned")*N('Checkout Log'!$B$3:$B$302)))</f>
        <v>18</v>
      </c>
      <c r="D86" s="11" t="s">
        <v>163</v>
      </c>
      <c r="E86" s="9" t="str">
        <f aca="false">IF(D86="","",IFERROR(VLOOKUP(D86,Bins!$A:$B,2,0),"—"))</f>
        <v>C3</v>
      </c>
      <c r="F86" s="9" t="s">
        <v>300</v>
      </c>
      <c r="G86" s="11"/>
      <c r="H86" s="11">
        <v>18</v>
      </c>
    </row>
    <row r="87" customFormat="false" ht="15" hidden="false" customHeight="false" outlineLevel="0" collapsed="false">
      <c r="A87" s="13" t="s">
        <v>370</v>
      </c>
      <c r="B87" s="13"/>
      <c r="C87" s="13" t="n">
        <f aca="false">IF(A87="","",H87-SUMPRODUCT(('Checkout Log'!$A$3:$A$302=A87)*('Checkout Log'!$K$3:$K$302&lt;&gt;"Returned")*N('Checkout Log'!$B$3:$B$302)))</f>
        <v>46</v>
      </c>
      <c r="D87" s="13" t="s">
        <v>164</v>
      </c>
      <c r="E87" s="8" t="str">
        <f aca="false">IF(D87="","",IFERROR(VLOOKUP(D87,Bins!$A:$B,2,0),"—"))</f>
        <v>C3</v>
      </c>
      <c r="F87" s="8" t="s">
        <v>300</v>
      </c>
      <c r="G87" s="13"/>
      <c r="H87" s="13">
        <v>46</v>
      </c>
    </row>
    <row r="88" customFormat="false" ht="15" hidden="false" customHeight="false" outlineLevel="0" collapsed="false">
      <c r="A88" s="11" t="s">
        <v>371</v>
      </c>
      <c r="B88" s="11"/>
      <c r="C88" s="11" t="n">
        <f aca="false">IF(A88="","",H88-SUMPRODUCT(('Checkout Log'!$A$3:$A$302=A88)*('Checkout Log'!$K$3:$K$302&lt;&gt;"Returned")*N('Checkout Log'!$B$3:$B$302)))</f>
        <v>1</v>
      </c>
      <c r="D88" s="11" t="s">
        <v>165</v>
      </c>
      <c r="E88" s="9" t="str">
        <f aca="false">IF(D88="","",IFERROR(VLOOKUP(D88,Bins!$A:$B,2,0),"—"))</f>
        <v>C3</v>
      </c>
      <c r="F88" s="9" t="s">
        <v>300</v>
      </c>
      <c r="G88" s="11" t="s">
        <v>372</v>
      </c>
      <c r="H88" s="11">
        <v>3</v>
      </c>
    </row>
    <row r="89" customFormat="false" ht="15" hidden="false" customHeight="false" outlineLevel="0" collapsed="false">
      <c r="A89" s="13" t="s">
        <v>373</v>
      </c>
      <c r="B89" s="13"/>
      <c r="C89" s="13" t="n">
        <f aca="false">IF(A89="","",H89-SUMPRODUCT(('Checkout Log'!$A$3:$A$302=A89)*('Checkout Log'!$K$3:$K$302&lt;&gt;"Returned")*N('Checkout Log'!$B$3:$B$302)))</f>
        <v>1</v>
      </c>
      <c r="D89" s="13" t="s">
        <v>165</v>
      </c>
      <c r="E89" s="8" t="str">
        <f aca="false">IF(D89="","",IFERROR(VLOOKUP(D89,Bins!$A:$B,2,0),"—"))</f>
        <v>C3</v>
      </c>
      <c r="F89" s="8" t="s">
        <v>300</v>
      </c>
      <c r="G89" s="13"/>
      <c r="H89" s="13">
        <v>1</v>
      </c>
    </row>
    <row r="90" customFormat="false" ht="15" hidden="false" customHeight="false" outlineLevel="0" collapsed="false">
      <c r="A90" s="11" t="s">
        <v>374</v>
      </c>
      <c r="B90" s="11"/>
      <c r="C90" s="11" t="n">
        <f aca="false">IF(A90="","",H90-SUMPRODUCT(('Checkout Log'!$A$3:$A$302=A90)*('Checkout Log'!$K$3:$K$302&lt;&gt;"Returned")*N('Checkout Log'!$B$3:$B$302)))</f>
        <v>10</v>
      </c>
      <c r="D90" s="11" t="s">
        <v>166</v>
      </c>
      <c r="E90" s="9" t="str">
        <f aca="false">IF(D90="","",IFERROR(VLOOKUP(D90,Bins!$A:$B,2,0),"—"))</f>
        <v>C3</v>
      </c>
      <c r="F90" s="9" t="s">
        <v>300</v>
      </c>
      <c r="G90" s="11"/>
      <c r="H90" s="11">
        <v>10</v>
      </c>
    </row>
    <row r="91" customFormat="false" ht="15" hidden="false" customHeight="false" outlineLevel="0" collapsed="false">
      <c r="A91" s="13" t="s">
        <v>375</v>
      </c>
      <c r="B91" s="13"/>
      <c r="C91" s="13" t="n">
        <f aca="false">IF(A91="","",H91-SUMPRODUCT(('Checkout Log'!$A$3:$A$302=A91)*('Checkout Log'!$K$3:$K$302&lt;&gt;"Returned")*N('Checkout Log'!$B$3:$B$302)))</f>
        <v>2</v>
      </c>
      <c r="D91" s="13" t="s">
        <v>167</v>
      </c>
      <c r="E91" s="8" t="str">
        <f aca="false">IF(D91="","",IFERROR(VLOOKUP(D91,Bins!$A:$B,2,0),"—"))</f>
        <v>C3</v>
      </c>
      <c r="F91" s="8" t="s">
        <v>300</v>
      </c>
      <c r="G91" s="13"/>
      <c r="H91" s="13">
        <v>2</v>
      </c>
    </row>
    <row r="92" customFormat="false" ht="15" hidden="false" customHeight="false" outlineLevel="0" collapsed="false">
      <c r="A92" s="11" t="s">
        <v>376</v>
      </c>
      <c r="B92" s="11"/>
      <c r="C92" s="11" t="n">
        <f aca="false">IF(A92="","",H92-SUMPRODUCT(('Checkout Log'!$A$3:$A$302=A92)*('Checkout Log'!$K$3:$K$302&lt;&gt;"Returned")*N('Checkout Log'!$B$3:$B$302)))</f>
        <v>55</v>
      </c>
      <c r="D92" s="11" t="s">
        <v>167</v>
      </c>
      <c r="E92" s="9" t="str">
        <f aca="false">IF(D92="","",IFERROR(VLOOKUP(D92,Bins!$A:$B,2,0),"—"))</f>
        <v>C3</v>
      </c>
      <c r="F92" s="9" t="s">
        <v>300</v>
      </c>
      <c r="G92" s="11"/>
      <c r="H92" s="11">
        <v>55</v>
      </c>
    </row>
    <row r="93" customFormat="false" ht="15" hidden="false" customHeight="false" outlineLevel="0" collapsed="false">
      <c r="A93" s="13" t="s">
        <v>377</v>
      </c>
      <c r="B93" s="13"/>
      <c r="C93" s="13" t="n">
        <f aca="false">IF(A93="","",H93-SUMPRODUCT(('Checkout Log'!$A$3:$A$302=A93)*('Checkout Log'!$K$3:$K$302&lt;&gt;"Returned")*N('Checkout Log'!$B$3:$B$302)))</f>
        <v>55</v>
      </c>
      <c r="D93" s="13" t="s">
        <v>167</v>
      </c>
      <c r="E93" s="8" t="str">
        <f aca="false">IF(D93="","",IFERROR(VLOOKUP(D93,Bins!$A:$B,2,0),"—"))</f>
        <v>C3</v>
      </c>
      <c r="F93" s="8" t="s">
        <v>300</v>
      </c>
      <c r="G93" s="13"/>
      <c r="H93" s="13">
        <v>55</v>
      </c>
    </row>
    <row r="94" customFormat="false" ht="15" hidden="false" customHeight="false" outlineLevel="0" collapsed="false">
      <c r="A94" s="11" t="s">
        <v>378</v>
      </c>
      <c r="B94" s="11"/>
      <c r="C94" s="11" t="n">
        <f aca="false">IF(A94="","",H94-SUMPRODUCT(('Checkout Log'!$A$3:$A$302=A94)*('Checkout Log'!$K$3:$K$302&lt;&gt;"Returned")*N('Checkout Log'!$B$3:$B$302)))</f>
        <v>1</v>
      </c>
      <c r="D94" s="11" t="s">
        <v>167</v>
      </c>
      <c r="E94" s="9" t="str">
        <f aca="false">IF(D94="","",IFERROR(VLOOKUP(D94,Bins!$A:$B,2,0),"—"))</f>
        <v>C3</v>
      </c>
      <c r="F94" s="9" t="s">
        <v>300</v>
      </c>
      <c r="G94" s="11" t="s">
        <v>379</v>
      </c>
      <c r="H94" s="11">
        <v>1</v>
      </c>
    </row>
    <row r="95" customFormat="false" ht="15" hidden="false" customHeight="false" outlineLevel="0" collapsed="false">
      <c r="A95" s="13" t="s">
        <v>380</v>
      </c>
      <c r="B95" s="13"/>
      <c r="C95" s="13" t="n">
        <f aca="false">IF(A95="","",H95-SUMPRODUCT(('Checkout Log'!$A$3:$A$302=A95)*('Checkout Log'!$K$3:$K$302&lt;&gt;"Returned")*N('Checkout Log'!$B$3:$B$302)))</f>
        <v>23</v>
      </c>
      <c r="D95" s="13" t="s">
        <v>170</v>
      </c>
      <c r="E95" s="8" t="str">
        <f aca="false">IF(D95="","",IFERROR(VLOOKUP(D95,Bins!$A:$B,2,0),"—"))</f>
        <v>C3</v>
      </c>
      <c r="F95" s="8" t="s">
        <v>300</v>
      </c>
      <c r="G95" s="13"/>
      <c r="H95" s="13">
        <v>23</v>
      </c>
    </row>
    <row r="96" customFormat="false" ht="15" hidden="false" customHeight="false" outlineLevel="0" collapsed="false">
      <c r="A96" s="11" t="s">
        <v>381</v>
      </c>
      <c r="B96" s="11"/>
      <c r="C96" s="11" t="n">
        <f aca="false">IF(A96="","",H96-SUMPRODUCT(('Checkout Log'!$A$3:$A$302=A96)*('Checkout Log'!$K$3:$K$302&lt;&gt;"Returned")*N('Checkout Log'!$B$3:$B$302)))</f>
        <v>18</v>
      </c>
      <c r="D96" s="11" t="s">
        <v>170</v>
      </c>
      <c r="E96" s="9" t="str">
        <f aca="false">IF(D96="","",IFERROR(VLOOKUP(D96,Bins!$A:$B,2,0),"—"))</f>
        <v>C3</v>
      </c>
      <c r="F96" s="9" t="s">
        <v>300</v>
      </c>
      <c r="G96" s="11"/>
      <c r="H96" s="11">
        <v>18</v>
      </c>
    </row>
    <row r="97" customFormat="false" ht="15" hidden="false" customHeight="false" outlineLevel="0" collapsed="false">
      <c r="A97" s="13" t="s">
        <v>382</v>
      </c>
      <c r="B97" s="13"/>
      <c r="C97" s="13" t="n">
        <f aca="false">IF(A97="","",H97-SUMPRODUCT(('Checkout Log'!$A$3:$A$302=A97)*('Checkout Log'!$K$3:$K$302&lt;&gt;"Returned")*N('Checkout Log'!$B$3:$B$302)))</f>
        <v>5</v>
      </c>
      <c r="D97" s="13" t="s">
        <v>170</v>
      </c>
      <c r="E97" s="8" t="str">
        <f aca="false">IF(D97="","",IFERROR(VLOOKUP(D97,Bins!$A:$B,2,0),"—"))</f>
        <v>C3</v>
      </c>
      <c r="F97" s="8" t="s">
        <v>300</v>
      </c>
      <c r="G97" s="13"/>
      <c r="H97" s="13">
        <v>5</v>
      </c>
    </row>
    <row r="98" customFormat="false" ht="15" hidden="false" customHeight="false" outlineLevel="0" collapsed="false">
      <c r="A98" s="11" t="s">
        <v>383</v>
      </c>
      <c r="B98" s="11"/>
      <c r="C98" s="11" t="n">
        <f aca="false">IF(A98="","",H98-SUMPRODUCT(('Checkout Log'!$A$3:$A$302=A98)*('Checkout Log'!$K$3:$K$302&lt;&gt;"Returned")*N('Checkout Log'!$B$3:$B$302)))</f>
        <v>39</v>
      </c>
      <c r="D98" s="11" t="s">
        <v>171</v>
      </c>
      <c r="E98" s="9" t="str">
        <f aca="false">IF(D98="","",IFERROR(VLOOKUP(D98,Bins!$A:$B,2,0),"—"))</f>
        <v>C3</v>
      </c>
      <c r="F98" s="9" t="s">
        <v>300</v>
      </c>
      <c r="G98" s="11"/>
      <c r="H98" s="11">
        <v>39</v>
      </c>
    </row>
    <row r="99" customFormat="false" ht="15" hidden="false" customHeight="false" outlineLevel="0" collapsed="false">
      <c r="A99" s="13" t="s">
        <v>172</v>
      </c>
      <c r="B99" s="13"/>
      <c r="C99" s="13" t="n">
        <f aca="false">IF(A99="","",H99-SUMPRODUCT(('Checkout Log'!$A$3:$A$302=A99)*('Checkout Log'!$K$3:$K$302&lt;&gt;"Returned")*N('Checkout Log'!$B$3:$B$302)))</f>
        <v>23</v>
      </c>
      <c r="D99" s="13" t="s">
        <v>172</v>
      </c>
      <c r="E99" s="8" t="str">
        <f aca="false">IF(D99="","",IFERROR(VLOOKUP(D99,Bins!$A:$B,2,0),"—"))</f>
        <v>C3</v>
      </c>
      <c r="F99" s="8" t="s">
        <v>300</v>
      </c>
      <c r="G99" s="13"/>
      <c r="H99" s="13">
        <v>23</v>
      </c>
    </row>
    <row r="100" customFormat="false" ht="15" hidden="false" customHeight="false" outlineLevel="0" collapsed="false">
      <c r="A100" s="11" t="s">
        <v>384</v>
      </c>
      <c r="B100" s="11"/>
      <c r="C100" s="11" t="n">
        <f aca="false">IF(A100="","",H100-SUMPRODUCT(('Checkout Log'!$A$3:$A$302=A100)*('Checkout Log'!$K$3:$K$302&lt;&gt;"Returned")*N('Checkout Log'!$B$3:$B$302)))</f>
        <v>23</v>
      </c>
      <c r="D100" s="11" t="s">
        <v>173</v>
      </c>
      <c r="E100" s="9" t="str">
        <f aca="false">IF(D100="","",IFERROR(VLOOKUP(D100,Bins!$A:$B,2,0),"—"))</f>
        <v>C3</v>
      </c>
      <c r="F100" s="9" t="s">
        <v>300</v>
      </c>
      <c r="G100" s="11"/>
      <c r="H100" s="11">
        <v>23</v>
      </c>
    </row>
    <row r="101" customFormat="false" ht="15" hidden="false" customHeight="false" outlineLevel="0" collapsed="false">
      <c r="A101" s="13" t="s">
        <v>385</v>
      </c>
      <c r="B101" s="13"/>
      <c r="C101" s="13" t="n">
        <f aca="false">IF(A101="","",H101-SUMPRODUCT(('Checkout Log'!$A$3:$A$302=A101)*('Checkout Log'!$K$3:$K$302&lt;&gt;"Returned")*N('Checkout Log'!$B$3:$B$302)))</f>
        <v>12</v>
      </c>
      <c r="D101" s="13" t="s">
        <v>174</v>
      </c>
      <c r="E101" s="8" t="str">
        <f aca="false">IF(D101="","",IFERROR(VLOOKUP(D101,Bins!$A:$B,2,0),"—"))</f>
        <v>C3</v>
      </c>
      <c r="F101" s="8" t="s">
        <v>300</v>
      </c>
      <c r="G101" s="13"/>
      <c r="H101" s="13">
        <v>12</v>
      </c>
    </row>
    <row r="102" customFormat="false" ht="15" hidden="false" customHeight="false" outlineLevel="0" collapsed="false">
      <c r="A102" s="11" t="s">
        <v>386</v>
      </c>
      <c r="B102" s="11"/>
      <c r="C102" s="11" t="n">
        <f aca="false">IF(A102="","",H102-SUMPRODUCT(('Checkout Log'!$A$3:$A$302=A102)*('Checkout Log'!$K$3:$K$302&lt;&gt;"Returned")*N('Checkout Log'!$B$3:$B$302)))</f>
        <v>21</v>
      </c>
      <c r="D102" s="11" t="s">
        <v>175</v>
      </c>
      <c r="E102" s="9" t="str">
        <f aca="false">IF(D102="","",IFERROR(VLOOKUP(D102,Bins!$A:$B,2,0),"—"))</f>
        <v>C3</v>
      </c>
      <c r="F102" s="9" t="s">
        <v>300</v>
      </c>
      <c r="G102" s="11"/>
      <c r="H102" s="11">
        <v>21</v>
      </c>
    </row>
    <row r="103" customFormat="false" ht="15" hidden="false" customHeight="false" outlineLevel="0" collapsed="false">
      <c r="A103" s="13" t="s">
        <v>387</v>
      </c>
      <c r="B103" s="13"/>
      <c r="C103" s="13" t="n">
        <f aca="false">IF(A103="","",H103-SUMPRODUCT(('Checkout Log'!$A$3:$A$302=A103)*('Checkout Log'!$K$3:$K$302&lt;&gt;"Returned")*N('Checkout Log'!$B$3:$B$302)))</f>
        <v>12</v>
      </c>
      <c r="D103" s="13" t="s">
        <v>176</v>
      </c>
      <c r="E103" s="8" t="str">
        <f aca="false">IF(D103="","",IFERROR(VLOOKUP(D103,Bins!$A:$B,2,0),"—"))</f>
        <v>C3</v>
      </c>
      <c r="F103" s="8" t="s">
        <v>300</v>
      </c>
      <c r="G103" s="13"/>
      <c r="H103" s="13">
        <v>12</v>
      </c>
    </row>
    <row r="104" customFormat="false" ht="15" hidden="false" customHeight="false" outlineLevel="0" collapsed="false">
      <c r="A104" s="11" t="s">
        <v>388</v>
      </c>
      <c r="B104" s="11"/>
      <c r="C104" s="11" t="n">
        <f aca="false">IF(A104="","",H104-SUMPRODUCT(('Checkout Log'!$A$3:$A$302=A104)*('Checkout Log'!$K$3:$K$302&lt;&gt;"Returned")*N('Checkout Log'!$B$3:$B$302)))</f>
        <v>16</v>
      </c>
      <c r="D104" s="11" t="s">
        <v>177</v>
      </c>
      <c r="E104" s="9" t="str">
        <f aca="false">IF(D104="","",IFERROR(VLOOKUP(D104,Bins!$A:$B,2,0),"—"))</f>
        <v>C3</v>
      </c>
      <c r="F104" s="9" t="s">
        <v>300</v>
      </c>
      <c r="G104" s="11"/>
      <c r="H104" s="11">
        <v>16</v>
      </c>
    </row>
    <row r="105" customFormat="false" ht="15" hidden="false" customHeight="false" outlineLevel="0" collapsed="false">
      <c r="A105" s="13" t="s">
        <v>389</v>
      </c>
      <c r="B105" s="13"/>
      <c r="C105" s="13" t="n">
        <f aca="false">IF(A105="","",H105-SUMPRODUCT(('Checkout Log'!$A$3:$A$302=A105)*('Checkout Log'!$K$3:$K$302&lt;&gt;"Returned")*N('Checkout Log'!$B$3:$B$302)))</f>
        <v>18</v>
      </c>
      <c r="D105" s="13" t="s">
        <v>178</v>
      </c>
      <c r="E105" s="8" t="str">
        <f aca="false">IF(D105="","",IFERROR(VLOOKUP(D105,Bins!$A:$B,2,0),"—"))</f>
        <v>C3</v>
      </c>
      <c r="F105" s="8" t="s">
        <v>300</v>
      </c>
      <c r="G105" s="13"/>
      <c r="H105" s="13">
        <v>18</v>
      </c>
    </row>
    <row r="106" customFormat="false" ht="15" hidden="false" customHeight="false" outlineLevel="0" collapsed="false">
      <c r="A106" s="11" t="s">
        <v>390</v>
      </c>
      <c r="B106" s="11"/>
      <c r="C106" s="11" t="n">
        <f aca="false">IF(A106="","",H106-SUMPRODUCT(('Checkout Log'!$A$3:$A$302=A106)*('Checkout Log'!$K$3:$K$302&lt;&gt;"Returned")*N('Checkout Log'!$B$3:$B$302)))</f>
        <v>8</v>
      </c>
      <c r="D106" s="11" t="s">
        <v>179</v>
      </c>
      <c r="E106" s="9" t="str">
        <f aca="false">IF(D106="","",IFERROR(VLOOKUP(D106,Bins!$A:$B,2,0),"—"))</f>
        <v>C3</v>
      </c>
      <c r="F106" s="9" t="s">
        <v>300</v>
      </c>
      <c r="G106" s="11"/>
      <c r="H106" s="11">
        <v>8</v>
      </c>
    </row>
    <row r="107" customFormat="false" ht="15" hidden="false" customHeight="false" outlineLevel="0" collapsed="false">
      <c r="A107" s="13" t="s">
        <v>391</v>
      </c>
      <c r="B107" s="13"/>
      <c r="C107" s="13" t="n">
        <f aca="false">IF(A107="","",H107-SUMPRODUCT(('Checkout Log'!$A$3:$A$302=A107)*('Checkout Log'!$K$3:$K$302&lt;&gt;"Returned")*N('Checkout Log'!$B$3:$B$302)))</f>
        <v>2</v>
      </c>
      <c r="D107" s="13" t="s">
        <v>168</v>
      </c>
      <c r="E107" s="8" t="str">
        <f aca="false">IF(D107="","",IFERROR(VLOOKUP(D107,Bins!$A:$B,2,0),"—"))</f>
        <v>C3</v>
      </c>
      <c r="F107" s="8" t="s">
        <v>300</v>
      </c>
      <c r="G107" s="13"/>
      <c r="H107" s="13">
        <v>2</v>
      </c>
    </row>
    <row r="108" customFormat="false" ht="15" hidden="false" customHeight="false" outlineLevel="0" collapsed="false">
      <c r="A108" s="11" t="s">
        <v>392</v>
      </c>
      <c r="B108" s="11"/>
      <c r="C108" s="11" t="n">
        <f aca="false">IF(A108="","",H108-SUMPRODUCT(('Checkout Log'!$A$3:$A$302=A108)*('Checkout Log'!$K$3:$K$302&lt;&gt;"Returned")*N('Checkout Log'!$B$3:$B$302)))</f>
        <v>3</v>
      </c>
      <c r="D108" s="11" t="s">
        <v>168</v>
      </c>
      <c r="E108" s="9" t="str">
        <f aca="false">IF(D108="","",IFERROR(VLOOKUP(D108,Bins!$A:$B,2,0),"—"))</f>
        <v>C3</v>
      </c>
      <c r="F108" s="9" t="s">
        <v>300</v>
      </c>
      <c r="G108" s="11"/>
      <c r="H108" s="11">
        <v>3</v>
      </c>
    </row>
    <row r="109" customFormat="false" ht="15" hidden="false" customHeight="false" outlineLevel="0" collapsed="false">
      <c r="A109" s="13" t="s">
        <v>393</v>
      </c>
      <c r="B109" s="13"/>
      <c r="C109" s="13" t="n">
        <f aca="false">IF(A109="","",H109-SUMPRODUCT(('Checkout Log'!$A$3:$A$302=A109)*('Checkout Log'!$K$3:$K$302&lt;&gt;"Returned")*N('Checkout Log'!$B$3:$B$302)))</f>
        <v>2</v>
      </c>
      <c r="D109" s="13" t="s">
        <v>168</v>
      </c>
      <c r="E109" s="8" t="str">
        <f aca="false">IF(D109="","",IFERROR(VLOOKUP(D109,Bins!$A:$B,2,0),"—"))</f>
        <v>C3</v>
      </c>
      <c r="F109" s="8" t="s">
        <v>300</v>
      </c>
      <c r="G109" s="13"/>
      <c r="H109" s="13">
        <v>2</v>
      </c>
    </row>
    <row r="110" customFormat="false" ht="15" hidden="false" customHeight="false" outlineLevel="0" collapsed="false">
      <c r="A110" s="11" t="s">
        <v>394</v>
      </c>
      <c r="B110" s="11"/>
      <c r="C110" s="11" t="n">
        <f aca="false">IF(A110="","",H110-SUMPRODUCT(('Checkout Log'!$A$3:$A$302=A110)*('Checkout Log'!$K$3:$K$302&lt;&gt;"Returned")*N('Checkout Log'!$B$3:$B$302)))</f>
        <v>1</v>
      </c>
      <c r="D110" s="11" t="s">
        <v>169</v>
      </c>
      <c r="E110" s="9" t="str">
        <f aca="false">IF(D110="","",IFERROR(VLOOKUP(D110,Bins!$A:$B,2,0),"—"))</f>
        <v>C3</v>
      </c>
      <c r="F110" s="9" t="s">
        <v>300</v>
      </c>
      <c r="G110" s="11"/>
      <c r="H110" s="11">
        <v>1</v>
      </c>
    </row>
    <row r="111" customFormat="false" ht="15" hidden="false" customHeight="false" outlineLevel="0" collapsed="false">
      <c r="A111" s="13" t="s">
        <v>395</v>
      </c>
      <c r="B111" s="13"/>
      <c r="C111" s="13" t="n">
        <f aca="false">IF(A111="","",H111-SUMPRODUCT(('Checkout Log'!$A$3:$A$302=A111)*('Checkout Log'!$K$3:$K$302&lt;&gt;"Returned")*N('Checkout Log'!$B$3:$B$302)))</f>
        <v>5</v>
      </c>
      <c r="D111" s="13" t="s">
        <v>169</v>
      </c>
      <c r="E111" s="8" t="str">
        <f aca="false">IF(D111="","",IFERROR(VLOOKUP(D111,Bins!$A:$B,2,0),"—"))</f>
        <v>C3</v>
      </c>
      <c r="F111" s="8" t="s">
        <v>300</v>
      </c>
      <c r="G111" s="13"/>
      <c r="H111" s="13">
        <v>5</v>
      </c>
    </row>
    <row r="112" customFormat="false" ht="15" hidden="false" customHeight="false" outlineLevel="0" collapsed="false">
      <c r="A112" s="11" t="s">
        <v>396</v>
      </c>
      <c r="B112" s="11"/>
      <c r="C112" s="11" t="n">
        <f aca="false">IF(A112="","",H112-SUMPRODUCT(('Checkout Log'!$A$3:$A$302=A112)*('Checkout Log'!$K$3:$K$302&lt;&gt;"Returned")*N('Checkout Log'!$B$3:$B$302)))</f>
        <v>1</v>
      </c>
      <c r="D112" s="11" t="s">
        <v>169</v>
      </c>
      <c r="E112" s="9" t="str">
        <f aca="false">IF(D112="","",IFERROR(VLOOKUP(D112,Bins!$A:$B,2,0),"—"))</f>
        <v>C3</v>
      </c>
      <c r="F112" s="9" t="s">
        <v>300</v>
      </c>
      <c r="G112" s="11"/>
      <c r="H112" s="11">
        <v>1</v>
      </c>
    </row>
    <row r="113" customFormat="false" ht="15" hidden="false" customHeight="false" outlineLevel="0" collapsed="false">
      <c r="A113" s="13" t="s">
        <v>180</v>
      </c>
      <c r="B113" s="13"/>
      <c r="C113" s="13" t="n">
        <f aca="false">IF(A113="","",H113-SUMPRODUCT(('Checkout Log'!$A$3:$A$302=A113)*('Checkout Log'!$K$3:$K$302&lt;&gt;"Returned")*N('Checkout Log'!$B$3:$B$302)))</f>
        <v>9</v>
      </c>
      <c r="D113" s="13" t="s">
        <v>180</v>
      </c>
      <c r="E113" s="8" t="str">
        <f aca="false">IF(D113="","",IFERROR(VLOOKUP(D113,Bins!$A:$B,2,0),"—"))</f>
        <v>C3</v>
      </c>
      <c r="F113" s="8" t="s">
        <v>300</v>
      </c>
      <c r="G113" s="13"/>
      <c r="H113" s="13">
        <v>9</v>
      </c>
    </row>
    <row r="114" customFormat="false" ht="15" hidden="false" customHeight="false" outlineLevel="0" collapsed="false">
      <c r="A114" s="11" t="s">
        <v>397</v>
      </c>
      <c r="B114" s="11"/>
      <c r="C114" s="11" t="n">
        <f aca="false">IF(A114="","",H114-SUMPRODUCT(('Checkout Log'!$A$3:$A$302=A114)*('Checkout Log'!$K$3:$K$302&lt;&gt;"Returned")*N('Checkout Log'!$B$3:$B$302)))</f>
        <v>9</v>
      </c>
      <c r="D114" s="11" t="s">
        <v>181</v>
      </c>
      <c r="E114" s="9" t="str">
        <f aca="false">IF(D114="","",IFERROR(VLOOKUP(D114,Bins!$A:$B,2,0),"—"))</f>
        <v>C3</v>
      </c>
      <c r="F114" s="9" t="s">
        <v>300</v>
      </c>
      <c r="G114" s="11"/>
      <c r="H114" s="11">
        <v>9</v>
      </c>
    </row>
    <row r="115" customFormat="false" ht="15" hidden="false" customHeight="false" outlineLevel="0" collapsed="false">
      <c r="A115" s="13" t="s">
        <v>398</v>
      </c>
      <c r="B115" s="13"/>
      <c r="C115" s="13" t="n">
        <f aca="false">IF(A115="","",H115-SUMPRODUCT(('Checkout Log'!$A$3:$A$302=A115)*('Checkout Log'!$K$3:$K$302&lt;&gt;"Returned")*N('Checkout Log'!$B$3:$B$302)))</f>
        <v>32</v>
      </c>
      <c r="D115" s="13" t="s">
        <v>182</v>
      </c>
      <c r="E115" s="8" t="str">
        <f aca="false">IF(D115="","",IFERROR(VLOOKUP(D115,Bins!$A:$B,2,0),"—"))</f>
        <v>C3</v>
      </c>
      <c r="F115" s="8" t="s">
        <v>300</v>
      </c>
      <c r="G115" s="13"/>
      <c r="H115" s="13">
        <v>32</v>
      </c>
    </row>
    <row r="116" customFormat="false" ht="15" hidden="false" customHeight="false" outlineLevel="0" collapsed="false">
      <c r="A116" s="11" t="s">
        <v>399</v>
      </c>
      <c r="B116" s="11"/>
      <c r="C116" s="11" t="n">
        <f aca="false">IF(A116="","",H116-SUMPRODUCT(('Checkout Log'!$A$3:$A$302=A116)*('Checkout Log'!$K$3:$K$302&lt;&gt;"Returned")*N('Checkout Log'!$B$3:$B$302)))</f>
        <v>28</v>
      </c>
      <c r="D116" s="11" t="s">
        <v>183</v>
      </c>
      <c r="E116" s="9" t="str">
        <f aca="false">IF(D116="","",IFERROR(VLOOKUP(D116,Bins!$A:$B,2,0),"—"))</f>
        <v>C3</v>
      </c>
      <c r="F116" s="9" t="s">
        <v>300</v>
      </c>
      <c r="G116" s="11"/>
      <c r="H116" s="11">
        <v>28</v>
      </c>
    </row>
    <row r="117" customFormat="false" ht="15" hidden="false" customHeight="false" outlineLevel="0" collapsed="false">
      <c r="A117" s="13" t="s">
        <v>400</v>
      </c>
      <c r="B117" s="13"/>
      <c r="C117" s="13" t="n">
        <f aca="false">IF(A117="","",H117-SUMPRODUCT(('Checkout Log'!$A$3:$A$302=A117)*('Checkout Log'!$K$3:$K$302&lt;&gt;"Returned")*N('Checkout Log'!$B$3:$B$302)))</f>
        <v>34</v>
      </c>
      <c r="D117" s="13" t="s">
        <v>184</v>
      </c>
      <c r="E117" s="8" t="str">
        <f aca="false">IF(D117="","",IFERROR(VLOOKUP(D117,Bins!$A:$B,2,0),"—"))</f>
        <v>C3</v>
      </c>
      <c r="F117" s="8" t="s">
        <v>300</v>
      </c>
      <c r="G117" s="13"/>
      <c r="H117" s="13">
        <v>34</v>
      </c>
    </row>
    <row r="118" customFormat="false" ht="15" hidden="false" customHeight="false" outlineLevel="0" collapsed="false">
      <c r="A118" s="11" t="s">
        <v>401</v>
      </c>
      <c r="B118" s="11"/>
      <c r="C118" s="11" t="n">
        <f aca="false">IF(A118="","",H118-SUMPRODUCT(('Checkout Log'!$A$3:$A$302=A118)*('Checkout Log'!$K$3:$K$302&lt;&gt;"Returned")*N('Checkout Log'!$B$3:$B$302)))</f>
        <v>10</v>
      </c>
      <c r="D118" s="11" t="s">
        <v>184</v>
      </c>
      <c r="E118" s="9" t="str">
        <f aca="false">IF(D118="","",IFERROR(VLOOKUP(D118,Bins!$A:$B,2,0),"—"))</f>
        <v>C3</v>
      </c>
      <c r="F118" s="9" t="s">
        <v>300</v>
      </c>
      <c r="G118" s="11"/>
      <c r="H118" s="11">
        <v>10</v>
      </c>
    </row>
    <row r="119" customFormat="false" ht="15" hidden="false" customHeight="false" outlineLevel="0" collapsed="false">
      <c r="A119" s="13" t="s">
        <v>402</v>
      </c>
      <c r="B119" s="13"/>
      <c r="C119" s="13" t="n">
        <f aca="false">IF(A119="","",H119-SUMPRODUCT(('Checkout Log'!$A$3:$A$302=A119)*('Checkout Log'!$K$3:$K$302&lt;&gt;"Returned")*N('Checkout Log'!$B$3:$B$302)))</f>
        <v>4</v>
      </c>
      <c r="D119" s="13" t="s">
        <v>184</v>
      </c>
      <c r="E119" s="8" t="str">
        <f aca="false">IF(D119="","",IFERROR(VLOOKUP(D119,Bins!$A:$B,2,0),"—"))</f>
        <v>C3</v>
      </c>
      <c r="F119" s="8" t="s">
        <v>300</v>
      </c>
      <c r="G119" s="13"/>
      <c r="H119" s="13">
        <v>4</v>
      </c>
    </row>
    <row r="120" customFormat="false" ht="15" hidden="false" customHeight="false" outlineLevel="0" collapsed="false">
      <c r="A120" s="11" t="s">
        <v>403</v>
      </c>
      <c r="B120" s="11"/>
      <c r="C120" s="11" t="n">
        <f aca="false">IF(A120="","",H120-SUMPRODUCT(('Checkout Log'!$A$3:$A$302=A120)*('Checkout Log'!$K$3:$K$302&lt;&gt;"Returned")*N('Checkout Log'!$B$3:$B$302)))</f>
        <v>30</v>
      </c>
      <c r="D120" s="11" t="s">
        <v>185</v>
      </c>
      <c r="E120" s="9" t="str">
        <f aca="false">IF(D120="","",IFERROR(VLOOKUP(D120,Bins!$A:$B,2,0),"—"))</f>
        <v>C3</v>
      </c>
      <c r="F120" s="9" t="s">
        <v>300</v>
      </c>
      <c r="G120" s="11"/>
      <c r="H120" s="11">
        <v>30</v>
      </c>
    </row>
    <row r="121" customFormat="false" ht="15" hidden="false" customHeight="false" outlineLevel="0" collapsed="false">
      <c r="A121" s="13" t="s">
        <v>404</v>
      </c>
      <c r="B121" s="13"/>
      <c r="C121" s="13" t="n">
        <f aca="false">IF(A121="","",H121-SUMPRODUCT(('Checkout Log'!$A$3:$A$302=A121)*('Checkout Log'!$K$3:$K$302&lt;&gt;"Returned")*N('Checkout Log'!$B$3:$B$302)))</f>
        <v>30</v>
      </c>
      <c r="D121" s="13" t="s">
        <v>185</v>
      </c>
      <c r="E121" s="8" t="str">
        <f aca="false">IF(D121="","",IFERROR(VLOOKUP(D121,Bins!$A:$B,2,0),"—"))</f>
        <v>C3</v>
      </c>
      <c r="F121" s="8" t="s">
        <v>300</v>
      </c>
      <c r="G121" s="13"/>
      <c r="H121" s="13">
        <v>30</v>
      </c>
    </row>
    <row r="122" customFormat="false" ht="15" hidden="false" customHeight="false" outlineLevel="0" collapsed="false">
      <c r="A122" s="11" t="s">
        <v>405</v>
      </c>
      <c r="B122" s="11"/>
      <c r="C122" s="11" t="n">
        <f aca="false">IF(A122="","",H122-SUMPRODUCT(('Checkout Log'!$A$3:$A$302=A122)*('Checkout Log'!$K$3:$K$302&lt;&gt;"Returned")*N('Checkout Log'!$B$3:$B$302)))</f>
        <v>16</v>
      </c>
      <c r="D122" s="11" t="s">
        <v>186</v>
      </c>
      <c r="E122" s="9" t="str">
        <f aca="false">IF(D122="","",IFERROR(VLOOKUP(D122,Bins!$A:$B,2,0),"—"))</f>
        <v>C3</v>
      </c>
      <c r="F122" s="9" t="s">
        <v>300</v>
      </c>
      <c r="G122" s="11"/>
      <c r="H122" s="11">
        <v>16</v>
      </c>
    </row>
    <row r="123" customFormat="false" ht="15" hidden="false" customHeight="false" outlineLevel="0" collapsed="false">
      <c r="A123" s="13" t="s">
        <v>406</v>
      </c>
      <c r="B123" s="13"/>
      <c r="C123" s="13" t="n">
        <f aca="false">IF(A123="","",H123-SUMPRODUCT(('Checkout Log'!$A$3:$A$302=A123)*('Checkout Log'!$K$3:$K$302&lt;&gt;"Returned")*N('Checkout Log'!$B$3:$B$302)))</f>
        <v>1</v>
      </c>
      <c r="D123" s="13" t="s">
        <v>187</v>
      </c>
      <c r="E123" s="8" t="str">
        <f aca="false">IF(D123="","",IFERROR(VLOOKUP(D123,Bins!$A:$B,2,0),"—"))</f>
        <v>C3</v>
      </c>
      <c r="F123" s="8" t="s">
        <v>300</v>
      </c>
      <c r="G123" s="13"/>
      <c r="H123" s="13">
        <v>1</v>
      </c>
    </row>
    <row r="124" customFormat="false" ht="15" hidden="false" customHeight="false" outlineLevel="0" collapsed="false">
      <c r="A124" s="11" t="s">
        <v>407</v>
      </c>
      <c r="B124" s="11"/>
      <c r="C124" s="11" t="n">
        <f aca="false">IF(A124="","",H124-SUMPRODUCT(('Checkout Log'!$A$3:$A$302=A124)*('Checkout Log'!$K$3:$K$302&lt;&gt;"Returned")*N('Checkout Log'!$B$3:$B$302)))</f>
        <v>3</v>
      </c>
      <c r="D124" s="11" t="s">
        <v>187</v>
      </c>
      <c r="E124" s="9" t="str">
        <f aca="false">IF(D124="","",IFERROR(VLOOKUP(D124,Bins!$A:$B,2,0),"—"))</f>
        <v>C3</v>
      </c>
      <c r="F124" s="9" t="s">
        <v>300</v>
      </c>
      <c r="G124" s="11"/>
      <c r="H124" s="11">
        <v>3</v>
      </c>
    </row>
    <row r="125" customFormat="false" ht="15" hidden="false" customHeight="false" outlineLevel="0" collapsed="false">
      <c r="A125" s="13" t="s">
        <v>408</v>
      </c>
      <c r="B125" s="13"/>
      <c r="C125" s="13" t="n">
        <f aca="false">IF(A125="","",H125-SUMPRODUCT(('Checkout Log'!$A$3:$A$302=A125)*('Checkout Log'!$K$3:$K$302&lt;&gt;"Returned")*N('Checkout Log'!$B$3:$B$302)))</f>
        <v>5</v>
      </c>
      <c r="D125" s="13" t="s">
        <v>187</v>
      </c>
      <c r="E125" s="8" t="str">
        <f aca="false">IF(D125="","",IFERROR(VLOOKUP(D125,Bins!$A:$B,2,0),"—"))</f>
        <v>C3</v>
      </c>
      <c r="F125" s="8" t="s">
        <v>300</v>
      </c>
      <c r="G125" s="13"/>
      <c r="H125" s="13">
        <v>5</v>
      </c>
    </row>
    <row r="126" customFormat="false" ht="15" hidden="false" customHeight="false" outlineLevel="0" collapsed="false">
      <c r="A126" s="11" t="s">
        <v>409</v>
      </c>
      <c r="B126" s="11"/>
      <c r="C126" s="11" t="n">
        <f aca="false">IF(A126="","",H126-SUMPRODUCT(('Checkout Log'!$A$3:$A$302=A126)*('Checkout Log'!$K$3:$K$302&lt;&gt;"Returned")*N('Checkout Log'!$B$3:$B$302)))</f>
        <v>20</v>
      </c>
      <c r="D126" s="11" t="s">
        <v>188</v>
      </c>
      <c r="E126" s="9" t="str">
        <f aca="false">IF(D126="","",IFERROR(VLOOKUP(D126,Bins!$A:$B,2,0),"—"))</f>
        <v>C3</v>
      </c>
      <c r="F126" s="9" t="s">
        <v>300</v>
      </c>
      <c r="G126" s="11"/>
      <c r="H126" s="11">
        <v>20</v>
      </c>
    </row>
    <row r="127" customFormat="false" ht="15" hidden="false" customHeight="false" outlineLevel="0" collapsed="false">
      <c r="A127" s="13" t="s">
        <v>410</v>
      </c>
      <c r="B127" s="13"/>
      <c r="C127" s="13" t="n">
        <f aca="false">IF(A127="","",H127-SUMPRODUCT(('Checkout Log'!$A$3:$A$302=A127)*('Checkout Log'!$K$3:$K$302&lt;&gt;"Returned")*N('Checkout Log'!$B$3:$B$302)))</f>
        <v>42</v>
      </c>
      <c r="D127" s="13" t="s">
        <v>189</v>
      </c>
      <c r="E127" s="8" t="str">
        <f aca="false">IF(D127="","",IFERROR(VLOOKUP(D127,Bins!$A:$B,2,0),"—"))</f>
        <v>C3</v>
      </c>
      <c r="F127" s="8" t="s">
        <v>300</v>
      </c>
      <c r="G127" s="13"/>
      <c r="H127" s="13">
        <v>42</v>
      </c>
    </row>
    <row r="128" customFormat="false" ht="15" hidden="false" customHeight="false" outlineLevel="0" collapsed="false">
      <c r="A128" s="11" t="s">
        <v>411</v>
      </c>
      <c r="B128" s="11"/>
      <c r="C128" s="11" t="n">
        <f aca="false">IF(A128="","",H128-SUMPRODUCT(('Checkout Log'!$A$3:$A$302=A128)*('Checkout Log'!$K$3:$K$302&lt;&gt;"Returned")*N('Checkout Log'!$B$3:$B$302)))</f>
        <v>0</v>
      </c>
      <c r="D128" s="11" t="s">
        <v>190</v>
      </c>
      <c r="E128" s="9" t="str">
        <f aca="false">IF(D128="","",IFERROR(VLOOKUP(D128,Bins!$A:$B,2,0),"—"))</f>
        <v>C3</v>
      </c>
      <c r="F128" s="9" t="s">
        <v>300</v>
      </c>
      <c r="G128" s="11"/>
      <c r="H128" s="11">
        <v>0</v>
      </c>
    </row>
    <row r="129" customFormat="false" ht="15" hidden="false" customHeight="false" outlineLevel="0" collapsed="false">
      <c r="A129" s="13" t="s">
        <v>191</v>
      </c>
      <c r="B129" s="13"/>
      <c r="C129" s="13" t="n">
        <f aca="false">IF(A129="","",H129-SUMPRODUCT(('Checkout Log'!$A$3:$A$302=A129)*('Checkout Log'!$K$3:$K$302&lt;&gt;"Returned")*N('Checkout Log'!$B$3:$B$302)))</f>
        <v>5</v>
      </c>
      <c r="D129" s="13" t="s">
        <v>191</v>
      </c>
      <c r="E129" s="8" t="str">
        <f aca="false">IF(D129="","",IFERROR(VLOOKUP(D129,Bins!$A:$B,2,0),"—"))</f>
        <v>C3</v>
      </c>
      <c r="F129" s="8" t="s">
        <v>300</v>
      </c>
      <c r="G129" s="13"/>
      <c r="H129" s="13">
        <v>5</v>
      </c>
    </row>
    <row r="130" customFormat="false" ht="15" hidden="false" customHeight="false" outlineLevel="0" collapsed="false">
      <c r="A130" s="11" t="s">
        <v>412</v>
      </c>
      <c r="B130" s="11"/>
      <c r="C130" s="11" t="n">
        <f aca="false">IF(A130="","",H130-SUMPRODUCT(('Checkout Log'!$A$3:$A$302=A130)*('Checkout Log'!$K$3:$K$302&lt;&gt;"Returned")*N('Checkout Log'!$B$3:$B$302)))</f>
        <v>25</v>
      </c>
      <c r="D130" s="11" t="s">
        <v>192</v>
      </c>
      <c r="E130" s="9" t="str">
        <f aca="false">IF(D130="","",IFERROR(VLOOKUP(D130,Bins!$A:$B,2,0),"—"))</f>
        <v>C3</v>
      </c>
      <c r="F130" s="9" t="s">
        <v>300</v>
      </c>
      <c r="G130" s="11"/>
      <c r="H130" s="11">
        <v>25</v>
      </c>
    </row>
    <row r="131" customFormat="false" ht="15" hidden="false" customHeight="false" outlineLevel="0" collapsed="false">
      <c r="A131" s="13" t="s">
        <v>413</v>
      </c>
      <c r="B131" s="13"/>
      <c r="C131" s="13" t="n">
        <f aca="false">IF(A131="","",H131-SUMPRODUCT(('Checkout Log'!$A$3:$A$302=A131)*('Checkout Log'!$K$3:$K$302&lt;&gt;"Returned")*N('Checkout Log'!$B$3:$B$302)))</f>
        <v>16</v>
      </c>
      <c r="D131" s="13" t="s">
        <v>193</v>
      </c>
      <c r="E131" s="8" t="str">
        <f aca="false">IF(D131="","",IFERROR(VLOOKUP(D131,Bins!$A:$B,2,0),"—"))</f>
        <v>C3</v>
      </c>
      <c r="F131" s="8" t="s">
        <v>300</v>
      </c>
      <c r="G131" s="13"/>
      <c r="H131" s="13">
        <v>16</v>
      </c>
    </row>
    <row r="132" customFormat="false" ht="15" hidden="false" customHeight="false" outlineLevel="0" collapsed="false">
      <c r="A132" s="11" t="s">
        <v>414</v>
      </c>
      <c r="B132" s="11"/>
      <c r="C132" s="11" t="n">
        <f aca="false">IF(A132="","",H132-SUMPRODUCT(('Checkout Log'!$A$3:$A$302=A132)*('Checkout Log'!$K$3:$K$302&lt;&gt;"Returned")*N('Checkout Log'!$B$3:$B$302)))</f>
        <v>13</v>
      </c>
      <c r="D132" s="11" t="s">
        <v>194</v>
      </c>
      <c r="E132" s="9" t="str">
        <f aca="false">IF(D132="","",IFERROR(VLOOKUP(D132,Bins!$A:$B,2,0),"—"))</f>
        <v>C3</v>
      </c>
      <c r="F132" s="9" t="s">
        <v>300</v>
      </c>
      <c r="G132" s="11"/>
      <c r="H132" s="11">
        <v>13</v>
      </c>
    </row>
    <row r="133" customFormat="false" ht="15" hidden="false" customHeight="false" outlineLevel="0" collapsed="false">
      <c r="A133" s="13" t="s">
        <v>415</v>
      </c>
      <c r="B133" s="13"/>
      <c r="C133" s="13" t="n">
        <f aca="false">IF(A133="","",H133-SUMPRODUCT(('Checkout Log'!$A$3:$A$302=A133)*('Checkout Log'!$K$3:$K$302&lt;&gt;"Returned")*N('Checkout Log'!$B$3:$B$302)))</f>
        <v>19</v>
      </c>
      <c r="D133" s="13" t="s">
        <v>195</v>
      </c>
      <c r="E133" s="8" t="str">
        <f aca="false">IF(D133="","",IFERROR(VLOOKUP(D133,Bins!$A:$B,2,0),"—"))</f>
        <v>C3</v>
      </c>
      <c r="F133" s="8" t="s">
        <v>300</v>
      </c>
      <c r="G133" s="13"/>
      <c r="H133" s="13">
        <v>19</v>
      </c>
    </row>
    <row r="134" customFormat="false" ht="15" hidden="false" customHeight="false" outlineLevel="0" collapsed="false">
      <c r="A134" s="11" t="s">
        <v>196</v>
      </c>
      <c r="B134" s="11"/>
      <c r="C134" s="11" t="n">
        <f aca="false">IF(A134="","",H134-SUMPRODUCT(('Checkout Log'!$A$3:$A$302=A134)*('Checkout Log'!$K$3:$K$302&lt;&gt;"Returned")*N('Checkout Log'!$B$3:$B$302)))</f>
        <v>13</v>
      </c>
      <c r="D134" s="11" t="s">
        <v>196</v>
      </c>
      <c r="E134" s="9" t="str">
        <f aca="false">IF(D134="","",IFERROR(VLOOKUP(D134,Bins!$A:$B,2,0),"—"))</f>
        <v>C3</v>
      </c>
      <c r="F134" s="9" t="s">
        <v>300</v>
      </c>
      <c r="G134" s="11" t="s">
        <v>416</v>
      </c>
      <c r="H134" s="11">
        <v>13</v>
      </c>
    </row>
    <row r="135" customFormat="false" ht="15" hidden="false" customHeight="false" outlineLevel="0" collapsed="false">
      <c r="A135" s="13" t="s">
        <v>417</v>
      </c>
      <c r="B135" s="13"/>
      <c r="C135" s="13" t="n">
        <f aca="false">IF(A135="","",H135-SUMPRODUCT(('Checkout Log'!$A$3:$A$302=A135)*('Checkout Log'!$K$3:$K$302&lt;&gt;"Returned")*N('Checkout Log'!$B$3:$B$302)))</f>
        <v>17</v>
      </c>
      <c r="D135" s="13" t="s">
        <v>197</v>
      </c>
      <c r="E135" s="8" t="str">
        <f aca="false">IF(D135="","",IFERROR(VLOOKUP(D135,Bins!$A:$B,2,0),"—"))</f>
        <v>C3</v>
      </c>
      <c r="F135" s="8" t="s">
        <v>300</v>
      </c>
      <c r="G135" s="13"/>
      <c r="H135" s="13">
        <v>17</v>
      </c>
    </row>
    <row r="136" customFormat="false" ht="15" hidden="false" customHeight="false" outlineLevel="0" collapsed="false">
      <c r="A136" s="11" t="s">
        <v>418</v>
      </c>
      <c r="B136" s="11"/>
      <c r="C136" s="11" t="n">
        <f aca="false">IF(A136="","",H136-SUMPRODUCT(('Checkout Log'!$A$3:$A$302=A136)*('Checkout Log'!$K$3:$K$302&lt;&gt;"Returned")*N('Checkout Log'!$B$3:$B$302)))</f>
        <v>17</v>
      </c>
      <c r="D136" s="11" t="s">
        <v>198</v>
      </c>
      <c r="E136" s="9" t="str">
        <f aca="false">IF(D136="","",IFERROR(VLOOKUP(D136,Bins!$A:$B,2,0),"—"))</f>
        <v>C3</v>
      </c>
      <c r="F136" s="9" t="s">
        <v>300</v>
      </c>
      <c r="G136" s="11"/>
      <c r="H136" s="11">
        <v>17</v>
      </c>
    </row>
    <row r="137" customFormat="false" ht="15" hidden="false" customHeight="false" outlineLevel="0" collapsed="false">
      <c r="A137" s="13" t="s">
        <v>419</v>
      </c>
      <c r="B137" s="13"/>
      <c r="C137" s="13" t="n">
        <f aca="false">IF(A137="","",H137-SUMPRODUCT(('Checkout Log'!$A$3:$A$302=A137)*('Checkout Log'!$K$3:$K$302&lt;&gt;"Returned")*N('Checkout Log'!$B$3:$B$302)))</f>
        <v>13</v>
      </c>
      <c r="D137" s="13" t="s">
        <v>199</v>
      </c>
      <c r="E137" s="8" t="str">
        <f aca="false">IF(D137="","",IFERROR(VLOOKUP(D137,Bins!$A:$B,2,0),"—"))</f>
        <v>C3</v>
      </c>
      <c r="F137" s="8" t="s">
        <v>300</v>
      </c>
      <c r="G137" s="13"/>
      <c r="H137" s="13">
        <v>13</v>
      </c>
    </row>
    <row r="138" customFormat="false" ht="15" hidden="false" customHeight="false" outlineLevel="0" collapsed="false">
      <c r="A138" s="11" t="s">
        <v>200</v>
      </c>
      <c r="B138" s="11"/>
      <c r="C138" s="11" t="n">
        <f aca="false">IF(A138="","",H138-SUMPRODUCT(('Checkout Log'!$A$3:$A$302=A138)*('Checkout Log'!$K$3:$K$302&lt;&gt;"Returned")*N('Checkout Log'!$B$3:$B$302)))</f>
        <v>16</v>
      </c>
      <c r="D138" s="11" t="s">
        <v>200</v>
      </c>
      <c r="E138" s="9" t="str">
        <f aca="false">IF(D138="","",IFERROR(VLOOKUP(D138,Bins!$A:$B,2,0),"—"))</f>
        <v>C3</v>
      </c>
      <c r="F138" s="9" t="s">
        <v>300</v>
      </c>
      <c r="G138" s="11"/>
      <c r="H138" s="11">
        <v>16</v>
      </c>
    </row>
    <row r="139" customFormat="false" ht="15" hidden="false" customHeight="false" outlineLevel="0" collapsed="false">
      <c r="A139" s="13" t="s">
        <v>420</v>
      </c>
      <c r="B139" s="13"/>
      <c r="C139" s="13" t="n">
        <f aca="false">IF(A139="","",H139-SUMPRODUCT(('Checkout Log'!$A$3:$A$302=A139)*('Checkout Log'!$K$3:$K$302&lt;&gt;"Returned")*N('Checkout Log'!$B$3:$B$302)))</f>
        <v>18</v>
      </c>
      <c r="D139" s="13" t="s">
        <v>201</v>
      </c>
      <c r="E139" s="8" t="str">
        <f aca="false">IF(D139="","",IFERROR(VLOOKUP(D139,Bins!$A:$B,2,0),"—"))</f>
        <v>C3</v>
      </c>
      <c r="F139" s="8" t="s">
        <v>300</v>
      </c>
      <c r="G139" s="13"/>
      <c r="H139" s="13">
        <v>18</v>
      </c>
    </row>
    <row r="140" customFormat="false" ht="15" hidden="false" customHeight="false" outlineLevel="0" collapsed="false">
      <c r="A140" s="11" t="s">
        <v>202</v>
      </c>
      <c r="B140" s="11"/>
      <c r="C140" s="11" t="n">
        <f aca="false">IF(A140="","",H140-SUMPRODUCT(('Checkout Log'!$A$3:$A$302=A140)*('Checkout Log'!$K$3:$K$302&lt;&gt;"Returned")*N('Checkout Log'!$B$3:$B$302)))</f>
        <v>10</v>
      </c>
      <c r="D140" s="11" t="s">
        <v>202</v>
      </c>
      <c r="E140" s="9" t="str">
        <f aca="false">IF(D140="","",IFERROR(VLOOKUP(D140,Bins!$A:$B,2,0),"—"))</f>
        <v>C3</v>
      </c>
      <c r="F140" s="9" t="s">
        <v>300</v>
      </c>
      <c r="G140" s="11"/>
      <c r="H140" s="11">
        <v>10</v>
      </c>
    </row>
    <row r="141" customFormat="false" ht="15" hidden="false" customHeight="false" outlineLevel="0" collapsed="false">
      <c r="A141" s="13" t="s">
        <v>421</v>
      </c>
      <c r="B141" s="13"/>
      <c r="C141" s="13" t="n">
        <f aca="false">IF(A141="","",H141-SUMPRODUCT(('Checkout Log'!$A$3:$A$302=A141)*('Checkout Log'!$K$3:$K$302&lt;&gt;"Returned")*N('Checkout Log'!$B$3:$B$302)))</f>
        <v>18</v>
      </c>
      <c r="D141" s="13" t="s">
        <v>203</v>
      </c>
      <c r="E141" s="8" t="str">
        <f aca="false">IF(D141="","",IFERROR(VLOOKUP(D141,Bins!$A:$B,2,0),"—"))</f>
        <v>C3</v>
      </c>
      <c r="F141" s="8" t="s">
        <v>300</v>
      </c>
      <c r="G141" s="13"/>
      <c r="H141" s="13">
        <v>18</v>
      </c>
    </row>
    <row r="142" customFormat="false" ht="15" hidden="false" customHeight="false" outlineLevel="0" collapsed="false">
      <c r="A142" s="11" t="s">
        <v>204</v>
      </c>
      <c r="B142" s="11"/>
      <c r="C142" s="11" t="n">
        <f aca="false">IF(A142="","",H142-SUMPRODUCT(('Checkout Log'!$A$3:$A$302=A142)*('Checkout Log'!$K$3:$K$302&lt;&gt;"Returned")*N('Checkout Log'!$B$3:$B$302)))</f>
        <v>3</v>
      </c>
      <c r="D142" s="11" t="s">
        <v>204</v>
      </c>
      <c r="E142" s="9" t="str">
        <f aca="false">IF(D142="","",IFERROR(VLOOKUP(D142,Bins!$A:$B,2,0),"—"))</f>
        <v>C3</v>
      </c>
      <c r="F142" s="9" t="s">
        <v>300</v>
      </c>
      <c r="G142" s="11"/>
      <c r="H142" s="11">
        <v>3</v>
      </c>
    </row>
    <row r="143" customFormat="false" ht="15" hidden="false" customHeight="false" outlineLevel="0" collapsed="false">
      <c r="A143" s="13" t="s">
        <v>422</v>
      </c>
      <c r="B143" s="13"/>
      <c r="C143" s="13" t="n">
        <f aca="false">IF(A143="","",H143-SUMPRODUCT(('Checkout Log'!$A$3:$A$302=A143)*('Checkout Log'!$K$3:$K$302&lt;&gt;"Returned")*N('Checkout Log'!$B$3:$B$302)))</f>
        <v>30</v>
      </c>
      <c r="D143" s="13" t="s">
        <v>205</v>
      </c>
      <c r="E143" s="8" t="str">
        <f aca="false">IF(D143="","",IFERROR(VLOOKUP(D143,Bins!$A:$B,2,0),"—"))</f>
        <v>C3</v>
      </c>
      <c r="F143" s="8" t="s">
        <v>300</v>
      </c>
      <c r="G143" s="13"/>
      <c r="H143" s="13">
        <v>30</v>
      </c>
    </row>
    <row r="144" customFormat="false" ht="15" hidden="false" customHeight="false" outlineLevel="0" collapsed="false">
      <c r="A144" s="11" t="s">
        <v>423</v>
      </c>
      <c r="B144" s="11"/>
      <c r="C144" s="11" t="n">
        <f aca="false">IF(A144="","",H144-SUMPRODUCT(('Checkout Log'!$A$3:$A$302=A144)*('Checkout Log'!$K$3:$K$302&lt;&gt;"Returned")*N('Checkout Log'!$B$3:$B$302)))</f>
        <v>11</v>
      </c>
      <c r="D144" s="11" t="s">
        <v>206</v>
      </c>
      <c r="E144" s="9" t="str">
        <f aca="false">IF(D144="","",IFERROR(VLOOKUP(D144,Bins!$A:$B,2,0),"—"))</f>
        <v>C3</v>
      </c>
      <c r="F144" s="9" t="s">
        <v>300</v>
      </c>
      <c r="G144" s="11"/>
      <c r="H144" s="11">
        <v>11</v>
      </c>
    </row>
    <row r="145" customFormat="false" ht="15" hidden="false" customHeight="false" outlineLevel="0" collapsed="false">
      <c r="A145" s="13" t="s">
        <v>207</v>
      </c>
      <c r="B145" s="13"/>
      <c r="C145" s="13" t="n">
        <f aca="false">IF(A145="","",H145-SUMPRODUCT(('Checkout Log'!$A$3:$A$302=A145)*('Checkout Log'!$K$3:$K$302&lt;&gt;"Returned")*N('Checkout Log'!$B$3:$B$302)))</f>
        <v>15</v>
      </c>
      <c r="D145" s="13" t="s">
        <v>207</v>
      </c>
      <c r="E145" s="8" t="str">
        <f aca="false">IF(D145="","",IFERROR(VLOOKUP(D145,Bins!$A:$B,2,0),"—"))</f>
        <v>C3</v>
      </c>
      <c r="F145" s="8" t="s">
        <v>300</v>
      </c>
      <c r="G145" s="13"/>
      <c r="H145" s="13">
        <v>15</v>
      </c>
    </row>
    <row r="146" customFormat="false" ht="15" hidden="false" customHeight="false" outlineLevel="0" collapsed="false">
      <c r="A146" s="11" t="s">
        <v>424</v>
      </c>
      <c r="B146" s="11"/>
      <c r="C146" s="11" t="n">
        <f aca="false">IF(A146="","",H146-SUMPRODUCT(('Checkout Log'!$A$3:$A$302=A146)*('Checkout Log'!$K$3:$K$302&lt;&gt;"Returned")*N('Checkout Log'!$B$3:$B$302)))</f>
        <v>1</v>
      </c>
      <c r="D146" s="11" t="s">
        <v>208</v>
      </c>
      <c r="E146" s="9" t="str">
        <f aca="false">IF(D146="","",IFERROR(VLOOKUP(D146,Bins!$A:$B,2,0),"—"))</f>
        <v>C3</v>
      </c>
      <c r="F146" s="9" t="s">
        <v>300</v>
      </c>
      <c r="G146" s="11"/>
      <c r="H146" s="11">
        <v>1</v>
      </c>
    </row>
    <row r="147" customFormat="false" ht="15" hidden="false" customHeight="false" outlineLevel="0" collapsed="false">
      <c r="A147" s="13" t="s">
        <v>425</v>
      </c>
      <c r="B147" s="13"/>
      <c r="C147" s="13" t="n">
        <f aca="false">IF(A147="","",H147-SUMPRODUCT(('Checkout Log'!$A$3:$A$302=A147)*('Checkout Log'!$K$3:$K$302&lt;&gt;"Returned")*N('Checkout Log'!$B$3:$B$302)))</f>
        <v>8</v>
      </c>
      <c r="D147" s="13" t="s">
        <v>208</v>
      </c>
      <c r="E147" s="8" t="str">
        <f aca="false">IF(D147="","",IFERROR(VLOOKUP(D147,Bins!$A:$B,2,0),"—"))</f>
        <v>C3</v>
      </c>
      <c r="F147" s="8" t="s">
        <v>300</v>
      </c>
      <c r="G147" s="13"/>
      <c r="H147" s="13">
        <v>8</v>
      </c>
    </row>
    <row r="148" customFormat="false" ht="15" hidden="false" customHeight="false" outlineLevel="0" collapsed="false">
      <c r="A148" s="11" t="s">
        <v>426</v>
      </c>
      <c r="B148" s="11"/>
      <c r="C148" s="11" t="n">
        <f aca="false">IF(A148="","",H148-SUMPRODUCT(('Checkout Log'!$A$3:$A$302=A148)*('Checkout Log'!$K$3:$K$302&lt;&gt;"Returned")*N('Checkout Log'!$B$3:$B$302)))</f>
        <v>3</v>
      </c>
      <c r="D148" s="11" t="s">
        <v>208</v>
      </c>
      <c r="E148" s="9" t="str">
        <f aca="false">IF(D148="","",IFERROR(VLOOKUP(D148,Bins!$A:$B,2,0),"—"))</f>
        <v>C3</v>
      </c>
      <c r="F148" s="9" t="s">
        <v>300</v>
      </c>
      <c r="G148" s="11"/>
      <c r="H148" s="11">
        <v>3</v>
      </c>
    </row>
    <row r="149" customFormat="false" ht="15" hidden="false" customHeight="false" outlineLevel="0" collapsed="false">
      <c r="A149" s="13" t="s">
        <v>427</v>
      </c>
      <c r="B149" s="13"/>
      <c r="C149" s="13" t="n">
        <f aca="false">IF(A149="","",H149-SUMPRODUCT(('Checkout Log'!$A$3:$A$302=A149)*('Checkout Log'!$K$3:$K$302&lt;&gt;"Returned")*N('Checkout Log'!$B$3:$B$302)))</f>
        <v>34</v>
      </c>
      <c r="D149" s="13" t="s">
        <v>209</v>
      </c>
      <c r="E149" s="8" t="str">
        <f aca="false">IF(D149="","",IFERROR(VLOOKUP(D149,Bins!$A:$B,2,0),"—"))</f>
        <v>C3</v>
      </c>
      <c r="F149" s="8" t="s">
        <v>300</v>
      </c>
      <c r="G149" s="13" t="s">
        <v>325</v>
      </c>
      <c r="H149" s="13">
        <v>34</v>
      </c>
    </row>
    <row r="150" customFormat="false" ht="15" hidden="false" customHeight="false" outlineLevel="0" collapsed="false">
      <c r="A150" s="11" t="s">
        <v>428</v>
      </c>
      <c r="B150" s="11"/>
      <c r="C150" s="11" t="n">
        <f aca="false">IF(A150="","",H150-SUMPRODUCT(('Checkout Log'!$A$3:$A$302=A150)*('Checkout Log'!$K$3:$K$302&lt;&gt;"Returned")*N('Checkout Log'!$B$3:$B$302)))</f>
        <v>7</v>
      </c>
      <c r="D150" s="11" t="s">
        <v>210</v>
      </c>
      <c r="E150" s="9" t="str">
        <f aca="false">IF(D150="","",IFERROR(VLOOKUP(D150,Bins!$A:$B,2,0),"—"))</f>
        <v>C3</v>
      </c>
      <c r="F150" s="9" t="s">
        <v>300</v>
      </c>
      <c r="G150" s="11"/>
      <c r="H150" s="11">
        <v>7</v>
      </c>
    </row>
    <row r="151" customFormat="false" ht="15" hidden="false" customHeight="false" outlineLevel="0" collapsed="false">
      <c r="A151" s="13" t="s">
        <v>211</v>
      </c>
      <c r="B151" s="13"/>
      <c r="C151" s="13" t="n">
        <f aca="false">IF(A151="","",H151-SUMPRODUCT(('Checkout Log'!$A$3:$A$302=A151)*('Checkout Log'!$K$3:$K$302&lt;&gt;"Returned")*N('Checkout Log'!$B$3:$B$302)))</f>
        <v>4</v>
      </c>
      <c r="D151" s="13" t="s">
        <v>211</v>
      </c>
      <c r="E151" s="8" t="str">
        <f aca="false">IF(D151="","",IFERROR(VLOOKUP(D151,Bins!$A:$B,2,0),"—"))</f>
        <v>C3</v>
      </c>
      <c r="F151" s="8" t="s">
        <v>300</v>
      </c>
      <c r="G151" s="13"/>
      <c r="H151" s="13">
        <v>4</v>
      </c>
    </row>
    <row r="152" customFormat="false" ht="15" hidden="false" customHeight="false" outlineLevel="0" collapsed="false">
      <c r="A152" s="11" t="s">
        <v>429</v>
      </c>
      <c r="B152" s="11"/>
      <c r="C152" s="11" t="n">
        <f aca="false">IF(A152="","",H152-SUMPRODUCT(('Checkout Log'!$A$3:$A$302=A152)*('Checkout Log'!$K$3:$K$302&lt;&gt;"Returned")*N('Checkout Log'!$B$3:$B$302)))</f>
        <v>10</v>
      </c>
      <c r="D152" s="11" t="s">
        <v>213</v>
      </c>
      <c r="E152" s="9" t="str">
        <f aca="false">IF(D152="","",IFERROR(VLOOKUP(D152,Bins!$A:$B,2,0),"—"))</f>
        <v>C3</v>
      </c>
      <c r="F152" s="9" t="s">
        <v>300</v>
      </c>
      <c r="G152" s="11"/>
      <c r="H152" s="11">
        <v>10</v>
      </c>
    </row>
    <row r="153" customFormat="false" ht="15" hidden="false" customHeight="false" outlineLevel="0" collapsed="false">
      <c r="A153" s="13" t="s">
        <v>430</v>
      </c>
      <c r="B153" s="13"/>
      <c r="C153" s="13" t="n">
        <f aca="false">IF(A153="","",H153-SUMPRODUCT(('Checkout Log'!$A$3:$A$302=A153)*('Checkout Log'!$K$3:$K$302&lt;&gt;"Returned")*N('Checkout Log'!$B$3:$B$302)))</f>
        <v>1</v>
      </c>
      <c r="D153" s="13" t="s">
        <v>213</v>
      </c>
      <c r="E153" s="8" t="str">
        <f aca="false">IF(D153="","",IFERROR(VLOOKUP(D153,Bins!$A:$B,2,0),"—"))</f>
        <v>C3</v>
      </c>
      <c r="F153" s="8" t="s">
        <v>300</v>
      </c>
      <c r="G153" s="13"/>
      <c r="H153" s="13">
        <v>1</v>
      </c>
    </row>
    <row r="154" customFormat="false" ht="15" hidden="false" customHeight="false" outlineLevel="0" collapsed="false">
      <c r="A154" s="11" t="s">
        <v>431</v>
      </c>
      <c r="B154" s="11"/>
      <c r="C154" s="11" t="n">
        <f aca="false">IF(A154="","",H154-SUMPRODUCT(('Checkout Log'!$A$3:$A$302=A154)*('Checkout Log'!$K$3:$K$302&lt;&gt;"Returned")*N('Checkout Log'!$B$3:$B$302)))</f>
        <v>8</v>
      </c>
      <c r="D154" s="11" t="s">
        <v>213</v>
      </c>
      <c r="E154" s="9" t="str">
        <f aca="false">IF(D154="","",IFERROR(VLOOKUP(D154,Bins!$A:$B,2,0),"—"))</f>
        <v>C3</v>
      </c>
      <c r="F154" s="9" t="s">
        <v>300</v>
      </c>
      <c r="G154" s="11"/>
      <c r="H154" s="11">
        <v>8</v>
      </c>
    </row>
    <row r="155" customFormat="false" ht="15" hidden="false" customHeight="false" outlineLevel="0" collapsed="false">
      <c r="A155" s="13" t="s">
        <v>432</v>
      </c>
      <c r="B155" s="13"/>
      <c r="C155" s="13" t="n">
        <f aca="false">IF(A155="","",H155-SUMPRODUCT(('Checkout Log'!$A$3:$A$302=A155)*('Checkout Log'!$K$3:$K$302&lt;&gt;"Returned")*N('Checkout Log'!$B$3:$B$302)))</f>
        <v>5</v>
      </c>
      <c r="D155" s="13" t="s">
        <v>214</v>
      </c>
      <c r="E155" s="8" t="str">
        <f aca="false">IF(D155="","",IFERROR(VLOOKUP(D155,Bins!$A:$B,2,0),"—"))</f>
        <v>C3</v>
      </c>
      <c r="F155" s="8" t="s">
        <v>300</v>
      </c>
      <c r="G155" s="13"/>
      <c r="H155" s="13">
        <v>5</v>
      </c>
    </row>
    <row r="156" customFormat="false" ht="15" hidden="false" customHeight="false" outlineLevel="0" collapsed="false">
      <c r="A156" s="11" t="s">
        <v>433</v>
      </c>
      <c r="B156" s="11"/>
      <c r="C156" s="11" t="n">
        <f aca="false">IF(A156="","",H156-SUMPRODUCT(('Checkout Log'!$A$3:$A$302=A156)*('Checkout Log'!$K$3:$K$302&lt;&gt;"Returned")*N('Checkout Log'!$B$3:$B$302)))</f>
        <v>2</v>
      </c>
      <c r="D156" s="11" t="s">
        <v>214</v>
      </c>
      <c r="E156" s="9" t="str">
        <f aca="false">IF(D156="","",IFERROR(VLOOKUP(D156,Bins!$A:$B,2,0),"—"))</f>
        <v>C3</v>
      </c>
      <c r="F156" s="9" t="s">
        <v>300</v>
      </c>
      <c r="G156" s="11"/>
      <c r="H156" s="11">
        <v>2</v>
      </c>
    </row>
    <row r="157" customFormat="false" ht="15" hidden="false" customHeight="false" outlineLevel="0" collapsed="false">
      <c r="A157" s="13" t="s">
        <v>434</v>
      </c>
      <c r="B157" s="13"/>
      <c r="C157" s="13" t="n">
        <f aca="false">IF(A157="","",H157-SUMPRODUCT(('Checkout Log'!$A$3:$A$302=A157)*('Checkout Log'!$K$3:$K$302&lt;&gt;"Returned")*N('Checkout Log'!$B$3:$B$302)))</f>
        <v>3</v>
      </c>
      <c r="D157" s="13" t="s">
        <v>214</v>
      </c>
      <c r="E157" s="8" t="str">
        <f aca="false">IF(D157="","",IFERROR(VLOOKUP(D157,Bins!$A:$B,2,0),"—"))</f>
        <v>C3</v>
      </c>
      <c r="F157" s="8" t="s">
        <v>300</v>
      </c>
      <c r="G157" s="13"/>
      <c r="H157" s="13">
        <v>3</v>
      </c>
    </row>
    <row r="158" customFormat="false" ht="15" hidden="false" customHeight="false" outlineLevel="0" collapsed="false">
      <c r="A158" s="11" t="s">
        <v>435</v>
      </c>
      <c r="B158" s="11"/>
      <c r="C158" s="11" t="n">
        <f aca="false">IF(A158="","",H158-SUMPRODUCT(('Checkout Log'!$A$3:$A$302=A158)*('Checkout Log'!$K$3:$K$302&lt;&gt;"Returned")*N('Checkout Log'!$B$3:$B$302)))</f>
        <v>1</v>
      </c>
      <c r="D158" s="11" t="s">
        <v>215</v>
      </c>
      <c r="E158" s="9" t="str">
        <f aca="false">IF(D158="","",IFERROR(VLOOKUP(D158,Bins!$A:$B,2,0),"—"))</f>
        <v>C3</v>
      </c>
      <c r="F158" s="9" t="s">
        <v>300</v>
      </c>
      <c r="G158" s="11"/>
      <c r="H158" s="11">
        <v>1</v>
      </c>
    </row>
    <row r="159" customFormat="false" ht="15" hidden="false" customHeight="false" outlineLevel="0" collapsed="false">
      <c r="A159" s="13" t="s">
        <v>436</v>
      </c>
      <c r="B159" s="13"/>
      <c r="C159" s="13" t="n">
        <f aca="false">IF(A159="","",H159-SUMPRODUCT(('Checkout Log'!$A$3:$A$302=A159)*('Checkout Log'!$K$3:$K$302&lt;&gt;"Returned")*N('Checkout Log'!$B$3:$B$302)))</f>
        <v>0</v>
      </c>
      <c r="D159" s="13" t="s">
        <v>215</v>
      </c>
      <c r="E159" s="8" t="str">
        <f aca="false">IF(D159="","",IFERROR(VLOOKUP(D159,Bins!$A:$B,2,0),"—"))</f>
        <v>C3</v>
      </c>
      <c r="F159" s="8" t="s">
        <v>300</v>
      </c>
      <c r="G159" s="13"/>
      <c r="H159" s="13">
        <v>0</v>
      </c>
    </row>
    <row r="160" customFormat="false" ht="15" hidden="false" customHeight="false" outlineLevel="0" collapsed="false">
      <c r="A160" s="11" t="s">
        <v>437</v>
      </c>
      <c r="B160" s="11"/>
      <c r="C160" s="11" t="n">
        <f aca="false">IF(A160="","",H160-SUMPRODUCT(('Checkout Log'!$A$3:$A$302=A160)*('Checkout Log'!$K$3:$K$302&lt;&gt;"Returned")*N('Checkout Log'!$B$3:$B$302)))</f>
        <v>0</v>
      </c>
      <c r="D160" s="11" t="s">
        <v>215</v>
      </c>
      <c r="E160" s="9" t="str">
        <f aca="false">IF(D160="","",IFERROR(VLOOKUP(D160,Bins!$A:$B,2,0),"—"))</f>
        <v>C3</v>
      </c>
      <c r="F160" s="9" t="s">
        <v>300</v>
      </c>
      <c r="G160" s="11"/>
      <c r="H160" s="11">
        <v>0</v>
      </c>
    </row>
    <row r="161" customFormat="false" ht="15" hidden="false" customHeight="false" outlineLevel="0" collapsed="false">
      <c r="A161" s="13" t="s">
        <v>218</v>
      </c>
      <c r="B161" s="13"/>
      <c r="C161" s="13" t="n">
        <f aca="false">IF(A161="","",H161-SUMPRODUCT(('Checkout Log'!$A$3:$A$302=A161)*('Checkout Log'!$K$3:$K$302&lt;&gt;"Returned")*N('Checkout Log'!$B$3:$B$302)))</f>
        <v>6</v>
      </c>
      <c r="D161" s="13" t="s">
        <v>218</v>
      </c>
      <c r="E161" s="8" t="str">
        <f aca="false">IF(D161="","",IFERROR(VLOOKUP(D161,Bins!$A:$B,2,0),"—"))</f>
        <v>C3</v>
      </c>
      <c r="F161" s="8" t="s">
        <v>300</v>
      </c>
      <c r="G161" s="13"/>
      <c r="H161" s="13">
        <v>6</v>
      </c>
    </row>
    <row r="162" customFormat="false" ht="15" hidden="false" customHeight="false" outlineLevel="0" collapsed="false">
      <c r="A162" s="11" t="s">
        <v>438</v>
      </c>
      <c r="B162" s="11"/>
      <c r="C162" s="11" t="n">
        <f aca="false">IF(A162="","",H162-SUMPRODUCT(('Checkout Log'!$A$3:$A$302=A162)*('Checkout Log'!$K$3:$K$302&lt;&gt;"Returned")*N('Checkout Log'!$B$3:$B$302)))</f>
        <v>10</v>
      </c>
      <c r="D162" s="11" t="s">
        <v>219</v>
      </c>
      <c r="E162" s="9" t="str">
        <f aca="false">IF(D162="","",IFERROR(VLOOKUP(D162,Bins!$A:$B,2,0),"—"))</f>
        <v>C3</v>
      </c>
      <c r="F162" s="9" t="s">
        <v>300</v>
      </c>
      <c r="G162" s="11"/>
      <c r="H162" s="11">
        <v>10</v>
      </c>
    </row>
    <row r="163" customFormat="false" ht="15" hidden="false" customHeight="false" outlineLevel="0" collapsed="false">
      <c r="A163" s="13" t="s">
        <v>439</v>
      </c>
      <c r="B163" s="13"/>
      <c r="C163" s="13" t="n">
        <f aca="false">IF(A163="","",H163-SUMPRODUCT(('Checkout Log'!$A$3:$A$302=A163)*('Checkout Log'!$K$3:$K$302&lt;&gt;"Returned")*N('Checkout Log'!$B$3:$B$302)))</f>
        <v>13</v>
      </c>
      <c r="D163" s="13" t="s">
        <v>219</v>
      </c>
      <c r="E163" s="8" t="str">
        <f aca="false">IF(D163="","",IFERROR(VLOOKUP(D163,Bins!$A:$B,2,0),"—"))</f>
        <v>C3</v>
      </c>
      <c r="F163" s="8" t="s">
        <v>300</v>
      </c>
      <c r="G163" s="13"/>
      <c r="H163" s="13">
        <v>13</v>
      </c>
    </row>
    <row r="164" customFormat="false" ht="15" hidden="false" customHeight="false" outlineLevel="0" collapsed="false">
      <c r="A164" s="11" t="s">
        <v>440</v>
      </c>
      <c r="B164" s="11"/>
      <c r="C164" s="11" t="n">
        <f aca="false">IF(A164="","",H164-SUMPRODUCT(('Checkout Log'!$A$3:$A$302=A164)*('Checkout Log'!$K$3:$K$302&lt;&gt;"Returned")*N('Checkout Log'!$B$3:$B$302)))</f>
        <v>6</v>
      </c>
      <c r="D164" s="11" t="s">
        <v>219</v>
      </c>
      <c r="E164" s="9" t="str">
        <f aca="false">IF(D164="","",IFERROR(VLOOKUP(D164,Bins!$A:$B,2,0),"—"))</f>
        <v>C3</v>
      </c>
      <c r="F164" s="9" t="s">
        <v>300</v>
      </c>
      <c r="G164" s="11"/>
      <c r="H164" s="11">
        <v>6</v>
      </c>
    </row>
    <row r="165" customFormat="false" ht="15" hidden="false" customHeight="false" outlineLevel="0" collapsed="false">
      <c r="A165" s="13" t="s">
        <v>441</v>
      </c>
      <c r="B165" s="13"/>
      <c r="C165" s="13" t="n">
        <f aca="false">IF(A165="","",H165-SUMPRODUCT(('Checkout Log'!$A$3:$A$302=A165)*('Checkout Log'!$K$3:$K$302&lt;&gt;"Returned")*N('Checkout Log'!$B$3:$B$302)))</f>
        <v>16</v>
      </c>
      <c r="D165" s="13" t="s">
        <v>220</v>
      </c>
      <c r="E165" s="8" t="str">
        <f aca="false">IF(D165="","",IFERROR(VLOOKUP(D165,Bins!$A:$B,2,0),"—"))</f>
        <v>C3</v>
      </c>
      <c r="F165" s="8" t="s">
        <v>300</v>
      </c>
      <c r="G165" s="13"/>
      <c r="H165" s="13">
        <v>16</v>
      </c>
    </row>
    <row r="166" customFormat="false" ht="15" hidden="false" customHeight="false" outlineLevel="0" collapsed="false">
      <c r="A166" s="11" t="s">
        <v>442</v>
      </c>
      <c r="B166" s="11"/>
      <c r="C166" s="11" t="n">
        <f aca="false">IF(A166="","",H166-SUMPRODUCT(('Checkout Log'!$A$3:$A$302=A166)*('Checkout Log'!$K$3:$K$302&lt;&gt;"Returned")*N('Checkout Log'!$B$3:$B$302)))</f>
        <v>1</v>
      </c>
      <c r="D166" s="11" t="s">
        <v>220</v>
      </c>
      <c r="E166" s="9" t="str">
        <f aca="false">IF(D166="","",IFERROR(VLOOKUP(D166,Bins!$A:$B,2,0),"—"))</f>
        <v>C3</v>
      </c>
      <c r="F166" s="9" t="s">
        <v>300</v>
      </c>
      <c r="G166" s="11"/>
      <c r="H166" s="11">
        <v>1</v>
      </c>
    </row>
    <row r="167" customFormat="false" ht="15" hidden="false" customHeight="false" outlineLevel="0" collapsed="false">
      <c r="A167" s="13" t="s">
        <v>443</v>
      </c>
      <c r="B167" s="13"/>
      <c r="C167" s="13" t="n">
        <f aca="false">IF(A167="","",H167-SUMPRODUCT(('Checkout Log'!$A$3:$A$302=A167)*('Checkout Log'!$K$3:$K$302&lt;&gt;"Returned")*N('Checkout Log'!$B$3:$B$302)))</f>
        <v>1</v>
      </c>
      <c r="D167" s="13" t="s">
        <v>220</v>
      </c>
      <c r="E167" s="8" t="str">
        <f aca="false">IF(D167="","",IFERROR(VLOOKUP(D167,Bins!$A:$B,2,0),"—"))</f>
        <v>C3</v>
      </c>
      <c r="F167" s="8" t="s">
        <v>300</v>
      </c>
      <c r="G167" s="13"/>
      <c r="H167" s="13">
        <v>1</v>
      </c>
    </row>
    <row r="168" customFormat="false" ht="15" hidden="false" customHeight="false" outlineLevel="0" collapsed="false">
      <c r="A168" s="11" t="s">
        <v>444</v>
      </c>
      <c r="B168" s="11"/>
      <c r="C168" s="11" t="n">
        <f aca="false">IF(A168="","",H168-SUMPRODUCT(('Checkout Log'!$A$3:$A$302=A168)*('Checkout Log'!$K$3:$K$302&lt;&gt;"Returned")*N('Checkout Log'!$B$3:$B$302)))</f>
        <v>5</v>
      </c>
      <c r="D168" s="11" t="s">
        <v>221</v>
      </c>
      <c r="E168" s="9" t="str">
        <f aca="false">IF(D168="","",IFERROR(VLOOKUP(D168,Bins!$A:$B,2,0),"—"))</f>
        <v>C3</v>
      </c>
      <c r="F168" s="9" t="s">
        <v>300</v>
      </c>
      <c r="G168" s="11"/>
      <c r="H168" s="11">
        <v>5</v>
      </c>
    </row>
    <row r="169" customFormat="false" ht="15" hidden="false" customHeight="false" outlineLevel="0" collapsed="false">
      <c r="A169" s="13" t="s">
        <v>445</v>
      </c>
      <c r="B169" s="13"/>
      <c r="C169" s="13" t="n">
        <f aca="false">IF(A169="","",H169-SUMPRODUCT(('Checkout Log'!$A$3:$A$302=A169)*('Checkout Log'!$K$3:$K$302&lt;&gt;"Returned")*N('Checkout Log'!$B$3:$B$302)))</f>
        <v>9</v>
      </c>
      <c r="D169" s="13" t="s">
        <v>222</v>
      </c>
      <c r="E169" s="8" t="str">
        <f aca="false">IF(D169="","",IFERROR(VLOOKUP(D169,Bins!$A:$B,2,0),"—"))</f>
        <v>C3</v>
      </c>
      <c r="F169" s="8" t="s">
        <v>300</v>
      </c>
      <c r="G169" s="13"/>
      <c r="H169" s="13">
        <v>9</v>
      </c>
    </row>
    <row r="170" customFormat="false" ht="15" hidden="false" customHeight="false" outlineLevel="0" collapsed="false">
      <c r="A170" s="11" t="s">
        <v>446</v>
      </c>
      <c r="B170" s="11"/>
      <c r="C170" s="11" t="n">
        <f aca="false">IF(A170="","",H170-SUMPRODUCT(('Checkout Log'!$A$3:$A$302=A170)*('Checkout Log'!$K$3:$K$302&lt;&gt;"Returned")*N('Checkout Log'!$B$3:$B$302)))</f>
        <v>8</v>
      </c>
      <c r="D170" s="11" t="s">
        <v>222</v>
      </c>
      <c r="E170" s="9" t="str">
        <f aca="false">IF(D170="","",IFERROR(VLOOKUP(D170,Bins!$A:$B,2,0),"—"))</f>
        <v>C3</v>
      </c>
      <c r="F170" s="9" t="s">
        <v>300</v>
      </c>
      <c r="G170" s="11"/>
      <c r="H170" s="11">
        <v>8</v>
      </c>
    </row>
    <row r="171" customFormat="false" ht="15" hidden="false" customHeight="false" outlineLevel="0" collapsed="false">
      <c r="A171" s="13" t="s">
        <v>447</v>
      </c>
      <c r="B171" s="13"/>
      <c r="C171" s="13" t="n">
        <f aca="false">IF(A171="","",H171-SUMPRODUCT(('Checkout Log'!$A$3:$A$302=A171)*('Checkout Log'!$K$3:$K$302&lt;&gt;"Returned")*N('Checkout Log'!$B$3:$B$302)))</f>
        <v>0</v>
      </c>
      <c r="D171" s="13" t="s">
        <v>222</v>
      </c>
      <c r="E171" s="8" t="str">
        <f aca="false">IF(D171="","",IFERROR(VLOOKUP(D171,Bins!$A:$B,2,0),"—"))</f>
        <v>C3</v>
      </c>
      <c r="F171" s="8" t="s">
        <v>300</v>
      </c>
      <c r="G171" s="13"/>
      <c r="H171" s="13">
        <v>0</v>
      </c>
    </row>
    <row r="172" customFormat="false" ht="15" hidden="false" customHeight="false" outlineLevel="0" collapsed="false">
      <c r="A172" s="11" t="s">
        <v>448</v>
      </c>
      <c r="B172" s="11"/>
      <c r="C172" s="11" t="n">
        <f aca="false">IF(A172="","",H172-SUMPRODUCT(('Checkout Log'!$A$3:$A$302=A172)*('Checkout Log'!$K$3:$K$302&lt;&gt;"Returned")*N('Checkout Log'!$B$3:$B$302)))</f>
        <v>7</v>
      </c>
      <c r="D172" s="11" t="s">
        <v>222</v>
      </c>
      <c r="E172" s="9" t="str">
        <f aca="false">IF(D172="","",IFERROR(VLOOKUP(D172,Bins!$A:$B,2,0),"—"))</f>
        <v>C3</v>
      </c>
      <c r="F172" s="9" t="s">
        <v>300</v>
      </c>
      <c r="G172" s="11"/>
      <c r="H172" s="11">
        <v>7</v>
      </c>
    </row>
    <row r="173" customFormat="false" ht="15" hidden="false" customHeight="false" outlineLevel="0" collapsed="false">
      <c r="A173" s="13" t="s">
        <v>449</v>
      </c>
      <c r="B173" s="13"/>
      <c r="C173" s="13" t="n">
        <f aca="false">IF(A173="","",H173-SUMPRODUCT(('Checkout Log'!$A$3:$A$302=A173)*('Checkout Log'!$K$3:$K$302&lt;&gt;"Returned")*N('Checkout Log'!$B$3:$B$302)))</f>
        <v>20</v>
      </c>
      <c r="D173" s="13" t="s">
        <v>223</v>
      </c>
      <c r="E173" s="8" t="str">
        <f aca="false">IF(D173="","",IFERROR(VLOOKUP(D173,Bins!$A:$B,2,0),"—"))</f>
        <v>C3</v>
      </c>
      <c r="F173" s="8" t="s">
        <v>300</v>
      </c>
      <c r="G173" s="13"/>
      <c r="H173" s="13">
        <v>20</v>
      </c>
    </row>
    <row r="174" customFormat="false" ht="15" hidden="false" customHeight="false" outlineLevel="0" collapsed="false">
      <c r="A174" s="11" t="s">
        <v>450</v>
      </c>
      <c r="B174" s="11"/>
      <c r="C174" s="11" t="n">
        <f aca="false">IF(A174="","",H174-SUMPRODUCT(('Checkout Log'!$A$3:$A$302=A174)*('Checkout Log'!$K$3:$K$302&lt;&gt;"Returned")*N('Checkout Log'!$B$3:$B$302)))</f>
        <v>7</v>
      </c>
      <c r="D174" s="11" t="s">
        <v>223</v>
      </c>
      <c r="E174" s="9" t="str">
        <f aca="false">IF(D174="","",IFERROR(VLOOKUP(D174,Bins!$A:$B,2,0),"—"))</f>
        <v>C3</v>
      </c>
      <c r="F174" s="9" t="s">
        <v>300</v>
      </c>
      <c r="G174" s="11"/>
      <c r="H174" s="11">
        <v>7</v>
      </c>
    </row>
    <row r="175" customFormat="false" ht="15" hidden="false" customHeight="false" outlineLevel="0" collapsed="false">
      <c r="A175" s="13" t="s">
        <v>451</v>
      </c>
      <c r="B175" s="13"/>
      <c r="C175" s="13" t="n">
        <f aca="false">IF(A175="","",H175-SUMPRODUCT(('Checkout Log'!$A$3:$A$302=A175)*('Checkout Log'!$K$3:$K$302&lt;&gt;"Returned")*N('Checkout Log'!$B$3:$B$302)))</f>
        <v>4</v>
      </c>
      <c r="D175" s="13" t="s">
        <v>223</v>
      </c>
      <c r="E175" s="8" t="str">
        <f aca="false">IF(D175="","",IFERROR(VLOOKUP(D175,Bins!$A:$B,2,0),"—"))</f>
        <v>C3</v>
      </c>
      <c r="F175" s="8" t="s">
        <v>300</v>
      </c>
      <c r="G175" s="13"/>
      <c r="H175" s="13">
        <v>4</v>
      </c>
    </row>
    <row r="176" customFormat="false" ht="15" hidden="false" customHeight="false" outlineLevel="0" collapsed="false">
      <c r="A176" s="11" t="s">
        <v>224</v>
      </c>
      <c r="B176" s="11"/>
      <c r="C176" s="11" t="n">
        <f aca="false">IF(A176="","",H176-SUMPRODUCT(('Checkout Log'!$A$3:$A$302=A176)*('Checkout Log'!$K$3:$K$302&lt;&gt;"Returned")*N('Checkout Log'!$B$3:$B$302)))</f>
        <v>3</v>
      </c>
      <c r="D176" s="11" t="s">
        <v>224</v>
      </c>
      <c r="E176" s="9" t="str">
        <f aca="false">IF(D176="","",IFERROR(VLOOKUP(D176,Bins!$A:$B,2,0),"—"))</f>
        <v>C3</v>
      </c>
      <c r="F176" s="9" t="s">
        <v>300</v>
      </c>
      <c r="G176" s="11"/>
      <c r="H176" s="11">
        <v>3</v>
      </c>
    </row>
    <row r="177" customFormat="false" ht="15" hidden="false" customHeight="false" outlineLevel="0" collapsed="false">
      <c r="A177" s="13" t="s">
        <v>452</v>
      </c>
      <c r="B177" s="13"/>
      <c r="C177" s="13" t="n">
        <f aca="false">IF(A177="","",H177-SUMPRODUCT(('Checkout Log'!$A$3:$A$302=A177)*('Checkout Log'!$K$3:$K$302&lt;&gt;"Returned")*N('Checkout Log'!$B$3:$B$302)))</f>
        <v>2</v>
      </c>
      <c r="D177" s="13" t="s">
        <v>225</v>
      </c>
      <c r="E177" s="8" t="str">
        <f aca="false">IF(D177="","",IFERROR(VLOOKUP(D177,Bins!$A:$B,2,0),"—"))</f>
        <v>C3</v>
      </c>
      <c r="F177" s="8" t="s">
        <v>300</v>
      </c>
      <c r="G177" s="13"/>
      <c r="H177" s="13">
        <v>2</v>
      </c>
    </row>
    <row r="178" customFormat="false" ht="15" hidden="false" customHeight="false" outlineLevel="0" collapsed="false">
      <c r="A178" s="11" t="s">
        <v>453</v>
      </c>
      <c r="B178" s="11"/>
      <c r="C178" s="11" t="n">
        <f aca="false">IF(A178="","",H178-SUMPRODUCT(('Checkout Log'!$A$3:$A$302=A178)*('Checkout Log'!$K$3:$K$302&lt;&gt;"Returned")*N('Checkout Log'!$B$3:$B$302)))</f>
        <v>2</v>
      </c>
      <c r="D178" s="11" t="s">
        <v>226</v>
      </c>
      <c r="E178" s="9" t="str">
        <f aca="false">IF(D178="","",IFERROR(VLOOKUP(D178,Bins!$A:$B,2,0),"—"))</f>
        <v>C3</v>
      </c>
      <c r="F178" s="9" t="s">
        <v>300</v>
      </c>
      <c r="G178" s="11"/>
      <c r="H178" s="11">
        <v>2</v>
      </c>
    </row>
    <row r="179" customFormat="false" ht="15" hidden="false" customHeight="false" outlineLevel="0" collapsed="false">
      <c r="A179" s="13" t="s">
        <v>64</v>
      </c>
      <c r="B179" s="13"/>
      <c r="C179" s="13" t="n">
        <f aca="false">IF(A179="","",H179-SUMPRODUCT(('Checkout Log'!$A$3:$A$302=A179)*('Checkout Log'!$K$3:$K$302&lt;&gt;"Returned")*N('Checkout Log'!$B$3:$B$302)))</f>
        <v>2</v>
      </c>
      <c r="D179" s="13" t="s">
        <v>64</v>
      </c>
      <c r="E179" s="8" t="str">
        <f aca="false">IF(D179="","",IFERROR(VLOOKUP(D179,Bins!$A:$B,2,0),"—"))</f>
        <v>C1</v>
      </c>
      <c r="F179" s="8" t="s">
        <v>300</v>
      </c>
      <c r="G179" s="13"/>
      <c r="H179" s="13">
        <v>2</v>
      </c>
    </row>
    <row r="180" customFormat="false" ht="15" hidden="false" customHeight="false" outlineLevel="0" collapsed="false">
      <c r="A180" s="11" t="s">
        <v>454</v>
      </c>
      <c r="B180" s="11"/>
      <c r="C180" s="11" t="n">
        <f aca="false">IF(A180="","",H180-SUMPRODUCT(('Checkout Log'!$A$3:$A$302=A180)*('Checkout Log'!$K$3:$K$302&lt;&gt;"Returned")*N('Checkout Log'!$B$3:$B$302)))</f>
        <v>7</v>
      </c>
      <c r="D180" s="11" t="s">
        <v>214</v>
      </c>
      <c r="E180" s="9" t="str">
        <f aca="false">IF(D180="","",IFERROR(VLOOKUP(D180,Bins!$A:$B,2,0),"—"))</f>
        <v>C3</v>
      </c>
      <c r="F180" s="9" t="s">
        <v>300</v>
      </c>
      <c r="G180" s="11"/>
      <c r="H180" s="11">
        <v>7</v>
      </c>
    </row>
    <row r="181" customFormat="false" ht="15" hidden="false" customHeight="false" outlineLevel="0" collapsed="false">
      <c r="A181" s="13" t="s">
        <v>230</v>
      </c>
      <c r="B181" s="13"/>
      <c r="C181" s="13" t="n">
        <f aca="false">IF(A181="","",H181-SUMPRODUCT(('Checkout Log'!$A$3:$A$302=A181)*('Checkout Log'!$K$3:$K$302&lt;&gt;"Returned")*N('Checkout Log'!$B$3:$B$302)))</f>
        <v>7</v>
      </c>
      <c r="D181" s="13" t="s">
        <v>230</v>
      </c>
      <c r="E181" s="8" t="str">
        <f aca="false">IF(D181="","",IFERROR(VLOOKUP(D181,Bins!$A:$B,2,0),"—"))</f>
        <v>C3</v>
      </c>
      <c r="F181" s="8" t="s">
        <v>300</v>
      </c>
      <c r="G181" s="13"/>
      <c r="H181" s="13">
        <v>7</v>
      </c>
    </row>
    <row r="182" customFormat="false" ht="15" hidden="false" customHeight="false" outlineLevel="0" collapsed="false">
      <c r="A182" s="11" t="s">
        <v>455</v>
      </c>
      <c r="B182" s="11"/>
      <c r="C182" s="11" t="n">
        <f aca="false">IF(A182="","",H182-SUMPRODUCT(('Checkout Log'!$A$3:$A$302=A182)*('Checkout Log'!$K$3:$K$302&lt;&gt;"Returned")*N('Checkout Log'!$B$3:$B$302)))</f>
        <v>4</v>
      </c>
      <c r="D182" s="11" t="s">
        <v>80</v>
      </c>
      <c r="E182" s="9" t="str">
        <f aca="false">IF(D182="","",IFERROR(VLOOKUP(D182,Bins!$A:$B,2,0),"—"))</f>
        <v>C2</v>
      </c>
      <c r="F182" s="9" t="s">
        <v>300</v>
      </c>
      <c r="G182" s="11"/>
      <c r="H182" s="11">
        <v>4</v>
      </c>
    </row>
    <row r="183" customFormat="false" ht="15" hidden="false" customHeight="false" outlineLevel="0" collapsed="false">
      <c r="A183" s="13" t="s">
        <v>456</v>
      </c>
      <c r="B183" s="13"/>
      <c r="C183" s="13" t="n">
        <f aca="false">IF(A183="","",H183-SUMPRODUCT(('Checkout Log'!$A$3:$A$302=A183)*('Checkout Log'!$K$3:$K$302&lt;&gt;"Returned")*N('Checkout Log'!$B$3:$B$302)))</f>
        <v>18</v>
      </c>
      <c r="D183" s="13" t="s">
        <v>260</v>
      </c>
      <c r="E183" s="8" t="str">
        <f aca="false">IF(D183="","",IFERROR(VLOOKUP(D183,Bins!$A:$B,2,0),"—"))</f>
        <v>SL2</v>
      </c>
      <c r="F183" s="8" t="s">
        <v>300</v>
      </c>
      <c r="G183" s="13" t="s">
        <v>457</v>
      </c>
      <c r="H183" s="13">
        <v>18</v>
      </c>
    </row>
    <row r="184" customFormat="false" ht="15" hidden="false" customHeight="false" outlineLevel="0" collapsed="false">
      <c r="A184" s="11" t="s">
        <v>458</v>
      </c>
      <c r="B184" s="11"/>
      <c r="C184" s="11" t="n">
        <f aca="false">IF(A184="","",H184-SUMPRODUCT(('Checkout Log'!$A$3:$A$302=A184)*('Checkout Log'!$K$3:$K$302&lt;&gt;"Returned")*N('Checkout Log'!$B$3:$B$302)))</f>
        <v>28</v>
      </c>
      <c r="D184" s="11" t="s">
        <v>80</v>
      </c>
      <c r="E184" s="9" t="str">
        <f aca="false">IF(D184="","",IFERROR(VLOOKUP(D184,Bins!$A:$B,2,0),"—"))</f>
        <v>C2</v>
      </c>
      <c r="F184" s="9" t="s">
        <v>300</v>
      </c>
      <c r="G184" s="11"/>
      <c r="H184" s="11">
        <v>28</v>
      </c>
    </row>
    <row r="185" customFormat="false" ht="15" hidden="false" customHeight="false" outlineLevel="0" collapsed="false">
      <c r="A185" s="13" t="s">
        <v>459</v>
      </c>
      <c r="B185" s="13"/>
      <c r="C185" s="13" t="n">
        <f aca="false">IF(A185="","",H185-SUMPRODUCT(('Checkout Log'!$A$3:$A$302=A185)*('Checkout Log'!$K$3:$K$302&lt;&gt;"Returned")*N('Checkout Log'!$B$3:$B$302)))</f>
        <v>18</v>
      </c>
      <c r="D185" s="13" t="s">
        <v>232</v>
      </c>
      <c r="E185" s="8" t="str">
        <f aca="false">IF(D185="","",IFERROR(VLOOKUP(D185,Bins!$A:$B,2,0),"—"))</f>
        <v>SL5</v>
      </c>
      <c r="F185" s="8" t="s">
        <v>300</v>
      </c>
      <c r="G185" s="13"/>
      <c r="H185" s="13">
        <v>18</v>
      </c>
    </row>
    <row r="186" customFormat="false" ht="15" hidden="false" customHeight="false" outlineLevel="0" collapsed="false">
      <c r="A186" s="11" t="s">
        <v>460</v>
      </c>
      <c r="B186" s="11"/>
      <c r="C186" s="11" t="n">
        <f aca="false">IF(A186="","",H186-SUMPRODUCT(('Checkout Log'!$A$3:$A$302=A186)*('Checkout Log'!$K$3:$K$302&lt;&gt;"Returned")*N('Checkout Log'!$B$3:$B$302)))</f>
        <v>70</v>
      </c>
      <c r="D186" s="11" t="s">
        <v>240</v>
      </c>
      <c r="E186" s="9" t="str">
        <f aca="false">IF(D186="","",IFERROR(VLOOKUP(D186,Bins!$A:$B,2,0),"—"))</f>
        <v>SL4</v>
      </c>
      <c r="F186" s="9" t="s">
        <v>300</v>
      </c>
      <c r="G186" s="11"/>
      <c r="H186" s="11">
        <v>70</v>
      </c>
    </row>
    <row r="187" customFormat="false" ht="15" hidden="false" customHeight="false" outlineLevel="0" collapsed="false">
      <c r="A187" s="13" t="s">
        <v>461</v>
      </c>
      <c r="B187" s="13"/>
      <c r="C187" s="13" t="n">
        <f aca="false">IF(A187="","",H187-SUMPRODUCT(('Checkout Log'!$A$3:$A$302=A187)*('Checkout Log'!$K$3:$K$302&lt;&gt;"Returned")*N('Checkout Log'!$B$3:$B$302)))</f>
        <v>27</v>
      </c>
      <c r="D187" s="13"/>
      <c r="E187" s="8" t="str">
        <f aca="false">IF(D187="","",IFERROR(VLOOKUP(D187,Bins!$A:$B,2,0),"—"))</f>
        <v/>
      </c>
      <c r="F187" s="8" t="s">
        <v>300</v>
      </c>
      <c r="G187" s="13"/>
      <c r="H187" s="13">
        <v>27</v>
      </c>
    </row>
    <row r="188" customFormat="false" ht="15" hidden="false" customHeight="false" outlineLevel="0" collapsed="false">
      <c r="A188" s="11" t="s">
        <v>462</v>
      </c>
      <c r="B188" s="11"/>
      <c r="C188" s="11" t="n">
        <f aca="false">IF(A188="","",H188-SUMPRODUCT(('Checkout Log'!$A$3:$A$302=A188)*('Checkout Log'!$K$3:$K$302&lt;&gt;"Returned")*N('Checkout Log'!$B$3:$B$302)))</f>
        <v>4</v>
      </c>
      <c r="D188" s="11" t="s">
        <v>245</v>
      </c>
      <c r="E188" s="9" t="str">
        <f aca="false">IF(D188="","",IFERROR(VLOOKUP(D188,Bins!$A:$B,2,0),"—"))</f>
        <v>SL4</v>
      </c>
      <c r="F188" s="9" t="s">
        <v>300</v>
      </c>
      <c r="G188" s="11"/>
      <c r="H188" s="11">
        <v>4</v>
      </c>
    </row>
    <row r="189" customFormat="false" ht="15" hidden="false" customHeight="false" outlineLevel="0" collapsed="false">
      <c r="A189" s="13" t="s">
        <v>463</v>
      </c>
      <c r="B189" s="13"/>
      <c r="C189" s="13" t="n">
        <f aca="false">IF(A189="","",H189-SUMPRODUCT(('Checkout Log'!$A$3:$A$302=A189)*('Checkout Log'!$K$3:$K$302&lt;&gt;"Returned")*N('Checkout Log'!$B$3:$B$302)))</f>
        <v>9</v>
      </c>
      <c r="D189" s="13" t="s">
        <v>245</v>
      </c>
      <c r="E189" s="8" t="str">
        <f aca="false">IF(D189="","",IFERROR(VLOOKUP(D189,Bins!$A:$B,2,0),"—"))</f>
        <v>SL4</v>
      </c>
      <c r="F189" s="8" t="s">
        <v>300</v>
      </c>
      <c r="G189" s="13"/>
      <c r="H189" s="13">
        <v>9</v>
      </c>
    </row>
    <row r="190" customFormat="false" ht="15" hidden="false" customHeight="false" outlineLevel="0" collapsed="false">
      <c r="A190" s="11" t="s">
        <v>464</v>
      </c>
      <c r="B190" s="11"/>
      <c r="C190" s="11" t="n">
        <f aca="false">IF(A190="","",H190-SUMPRODUCT(('Checkout Log'!$A$3:$A$302=A190)*('Checkout Log'!$K$3:$K$302&lt;&gt;"Returned")*N('Checkout Log'!$B$3:$B$302)))</f>
        <v>9</v>
      </c>
      <c r="D190" s="11" t="s">
        <v>49</v>
      </c>
      <c r="E190" s="9" t="str">
        <f aca="false">IF(D190="","",IFERROR(VLOOKUP(D190,Bins!$A:$B,2,0),"—"))</f>
        <v>SL4</v>
      </c>
      <c r="F190" s="9" t="s">
        <v>300</v>
      </c>
      <c r="G190" s="11" t="s">
        <v>465</v>
      </c>
      <c r="H190" s="11">
        <v>9</v>
      </c>
    </row>
    <row r="191" customFormat="false" ht="15" hidden="false" customHeight="false" outlineLevel="0" collapsed="false">
      <c r="A191" s="13" t="s">
        <v>466</v>
      </c>
      <c r="B191" s="13"/>
      <c r="C191" s="13" t="n">
        <f aca="false">IF(A191="","",H191-SUMPRODUCT(('Checkout Log'!$A$3:$A$302=A191)*('Checkout Log'!$K$3:$K$302&lt;&gt;"Returned")*N('Checkout Log'!$B$3:$B$302)))</f>
        <v>11</v>
      </c>
      <c r="D191" s="13" t="s">
        <v>49</v>
      </c>
      <c r="E191" s="8" t="str">
        <f aca="false">IF(D191="","",IFERROR(VLOOKUP(D191,Bins!$A:$B,2,0),"—"))</f>
        <v>SL4</v>
      </c>
      <c r="F191" s="8" t="s">
        <v>300</v>
      </c>
      <c r="G191" s="13"/>
      <c r="H191" s="13">
        <v>11</v>
      </c>
    </row>
    <row r="192" customFormat="false" ht="15" hidden="false" customHeight="false" outlineLevel="0" collapsed="false">
      <c r="A192" s="11" t="s">
        <v>467</v>
      </c>
      <c r="B192" s="11"/>
      <c r="C192" s="11" t="n">
        <f aca="false">IF(A192="","",H192-SUMPRODUCT(('Checkout Log'!$A$3:$A$302=A192)*('Checkout Log'!$K$3:$K$302&lt;&gt;"Returned")*N('Checkout Log'!$B$3:$B$302)))</f>
        <v>6</v>
      </c>
      <c r="D192" s="11" t="s">
        <v>245</v>
      </c>
      <c r="E192" s="9" t="str">
        <f aca="false">IF(D192="","",IFERROR(VLOOKUP(D192,Bins!$A:$B,2,0),"—"))</f>
        <v>SL4</v>
      </c>
      <c r="F192" s="9" t="s">
        <v>300</v>
      </c>
      <c r="G192" s="11"/>
      <c r="H192" s="11">
        <v>6</v>
      </c>
    </row>
    <row r="193" customFormat="false" ht="15" hidden="false" customHeight="false" outlineLevel="0" collapsed="false">
      <c r="A193" s="13" t="s">
        <v>468</v>
      </c>
      <c r="B193" s="13"/>
      <c r="C193" s="13" t="n">
        <f aca="false">IF(A193="","",H193-SUMPRODUCT(('Checkout Log'!$A$3:$A$302=A193)*('Checkout Log'!$K$3:$K$302&lt;&gt;"Returned")*N('Checkout Log'!$B$3:$B$302)))</f>
        <v>16</v>
      </c>
      <c r="D193" s="13" t="s">
        <v>245</v>
      </c>
      <c r="E193" s="8" t="str">
        <f aca="false">IF(D193="","",IFERROR(VLOOKUP(D193,Bins!$A:$B,2,0),"—"))</f>
        <v>SL4</v>
      </c>
      <c r="F193" s="8" t="s">
        <v>300</v>
      </c>
      <c r="G193" s="13"/>
      <c r="H193" s="13">
        <v>16</v>
      </c>
    </row>
    <row r="194" customFormat="false" ht="15" hidden="false" customHeight="false" outlineLevel="0" collapsed="false">
      <c r="A194" s="11" t="s">
        <v>469</v>
      </c>
      <c r="B194" s="11"/>
      <c r="C194" s="11" t="n">
        <f aca="false">IF(A194="","",H194-SUMPRODUCT(('Checkout Log'!$A$3:$A$302=A194)*('Checkout Log'!$K$3:$K$302&lt;&gt;"Returned")*N('Checkout Log'!$B$3:$B$302)))</f>
        <v>3</v>
      </c>
      <c r="D194" s="11" t="s">
        <v>245</v>
      </c>
      <c r="E194" s="9" t="str">
        <f aca="false">IF(D194="","",IFERROR(VLOOKUP(D194,Bins!$A:$B,2,0),"—"))</f>
        <v>SL4</v>
      </c>
      <c r="F194" s="9" t="s">
        <v>300</v>
      </c>
      <c r="G194" s="11"/>
      <c r="H194" s="11">
        <v>3</v>
      </c>
    </row>
    <row r="195" customFormat="false" ht="15" hidden="false" customHeight="false" outlineLevel="0" collapsed="false">
      <c r="A195" s="13" t="s">
        <v>470</v>
      </c>
      <c r="B195" s="13"/>
      <c r="C195" s="13" t="n">
        <f aca="false">IF(A195="","",H195-SUMPRODUCT(('Checkout Log'!$A$3:$A$302=A195)*('Checkout Log'!$K$3:$K$302&lt;&gt;"Returned")*N('Checkout Log'!$B$3:$B$302)))</f>
        <v>1</v>
      </c>
      <c r="D195" s="13" t="s">
        <v>245</v>
      </c>
      <c r="E195" s="8" t="str">
        <f aca="false">IF(D195="","",IFERROR(VLOOKUP(D195,Bins!$A:$B,2,0),"—"))</f>
        <v>SL4</v>
      </c>
      <c r="F195" s="8" t="s">
        <v>300</v>
      </c>
      <c r="G195" s="13"/>
      <c r="H195" s="13">
        <v>1</v>
      </c>
    </row>
    <row r="196" customFormat="false" ht="15" hidden="false" customHeight="false" outlineLevel="0" collapsed="false">
      <c r="A196" s="11" t="s">
        <v>471</v>
      </c>
      <c r="B196" s="11"/>
      <c r="C196" s="11" t="n">
        <f aca="false">IF(A196="","",H196-SUMPRODUCT(('Checkout Log'!$A$3:$A$302=A196)*('Checkout Log'!$K$3:$K$302&lt;&gt;"Returned")*N('Checkout Log'!$B$3:$B$302)))</f>
        <v>2</v>
      </c>
      <c r="D196" s="11" t="s">
        <v>248</v>
      </c>
      <c r="E196" s="9" t="str">
        <f aca="false">IF(D196="","",IFERROR(VLOOKUP(D196,Bins!$A:$B,2,0),"—"))</f>
        <v>SL3</v>
      </c>
      <c r="F196" s="9" t="s">
        <v>300</v>
      </c>
      <c r="G196" s="11"/>
      <c r="H196" s="11">
        <v>2</v>
      </c>
    </row>
    <row r="197" customFormat="false" ht="15" hidden="false" customHeight="false" outlineLevel="0" collapsed="false">
      <c r="A197" s="13" t="s">
        <v>472</v>
      </c>
      <c r="B197" s="13"/>
      <c r="C197" s="13" t="n">
        <f aca="false">IF(A197="","",H197-SUMPRODUCT(('Checkout Log'!$A$3:$A$302=A197)*('Checkout Log'!$K$3:$K$302&lt;&gt;"Returned")*N('Checkout Log'!$B$3:$B$302)))</f>
        <v>2</v>
      </c>
      <c r="D197" s="13" t="s">
        <v>250</v>
      </c>
      <c r="E197" s="8" t="str">
        <f aca="false">IF(D197="","",IFERROR(VLOOKUP(D197,Bins!$A:$B,2,0),"—"))</f>
        <v>SL3</v>
      </c>
      <c r="F197" s="8" t="s">
        <v>300</v>
      </c>
      <c r="G197" s="13"/>
      <c r="H197" s="13">
        <v>2</v>
      </c>
    </row>
    <row r="198" customFormat="false" ht="15" hidden="false" customHeight="false" outlineLevel="0" collapsed="false">
      <c r="A198" s="11" t="s">
        <v>473</v>
      </c>
      <c r="B198" s="11"/>
      <c r="C198" s="11" t="n">
        <f aca="false">IF(A198="","",H198-SUMPRODUCT(('Checkout Log'!$A$3:$A$302=A198)*('Checkout Log'!$K$3:$K$302&lt;&gt;"Returned")*N('Checkout Log'!$B$3:$B$302)))</f>
        <v>2</v>
      </c>
      <c r="D198" s="11" t="s">
        <v>250</v>
      </c>
      <c r="E198" s="9" t="str">
        <f aca="false">IF(D198="","",IFERROR(VLOOKUP(D198,Bins!$A:$B,2,0),"—"))</f>
        <v>SL3</v>
      </c>
      <c r="F198" s="9" t="s">
        <v>300</v>
      </c>
      <c r="G198" s="11"/>
      <c r="H198" s="11">
        <v>2</v>
      </c>
    </row>
    <row r="199" customFormat="false" ht="15" hidden="false" customHeight="false" outlineLevel="0" collapsed="false">
      <c r="A199" s="13" t="s">
        <v>474</v>
      </c>
      <c r="B199" s="13"/>
      <c r="C199" s="13" t="n">
        <f aca="false">IF(A199="","",H199-SUMPRODUCT(('Checkout Log'!$A$3:$A$302=A199)*('Checkout Log'!$K$3:$K$302&lt;&gt;"Returned")*N('Checkout Log'!$B$3:$B$302)))</f>
        <v>1</v>
      </c>
      <c r="D199" s="13" t="s">
        <v>250</v>
      </c>
      <c r="E199" s="8" t="str">
        <f aca="false">IF(D199="","",IFERROR(VLOOKUP(D199,Bins!$A:$B,2,0),"—"))</f>
        <v>SL3</v>
      </c>
      <c r="F199" s="8" t="s">
        <v>300</v>
      </c>
      <c r="G199" s="13"/>
      <c r="H199" s="13">
        <v>1</v>
      </c>
    </row>
    <row r="200" customFormat="false" ht="15" hidden="false" customHeight="false" outlineLevel="0" collapsed="false">
      <c r="A200" s="11" t="s">
        <v>475</v>
      </c>
      <c r="B200" s="11"/>
      <c r="C200" s="11" t="n">
        <f aca="false">IF(A200="","",H200-SUMPRODUCT(('Checkout Log'!$A$3:$A$302=A200)*('Checkout Log'!$K$3:$K$302&lt;&gt;"Returned")*N('Checkout Log'!$B$3:$B$302)))</f>
        <v>1</v>
      </c>
      <c r="D200" s="11" t="s">
        <v>250</v>
      </c>
      <c r="E200" s="9" t="str">
        <f aca="false">IF(D200="","",IFERROR(VLOOKUP(D200,Bins!$A:$B,2,0),"—"))</f>
        <v>SL3</v>
      </c>
      <c r="F200" s="9" t="s">
        <v>300</v>
      </c>
      <c r="G200" s="11"/>
      <c r="H200" s="11">
        <v>1</v>
      </c>
    </row>
    <row r="201" customFormat="false" ht="15" hidden="false" customHeight="false" outlineLevel="0" collapsed="false">
      <c r="A201" s="13" t="s">
        <v>476</v>
      </c>
      <c r="B201" s="13"/>
      <c r="C201" s="13" t="n">
        <f aca="false">IF(A201="","",H201-SUMPRODUCT(('Checkout Log'!$A$3:$A$302=A201)*('Checkout Log'!$K$3:$K$302&lt;&gt;"Returned")*N('Checkout Log'!$B$3:$B$302)))</f>
        <v>8</v>
      </c>
      <c r="D201" s="13" t="s">
        <v>250</v>
      </c>
      <c r="E201" s="8" t="str">
        <f aca="false">IF(D201="","",IFERROR(VLOOKUP(D201,Bins!$A:$B,2,0),"—"))</f>
        <v>SL3</v>
      </c>
      <c r="F201" s="8" t="s">
        <v>300</v>
      </c>
      <c r="G201" s="13"/>
      <c r="H201" s="13">
        <v>8</v>
      </c>
    </row>
    <row r="202" customFormat="false" ht="15" hidden="false" customHeight="false" outlineLevel="0" collapsed="false">
      <c r="A202" s="11" t="s">
        <v>477</v>
      </c>
      <c r="B202" s="11"/>
      <c r="C202" s="11" t="n">
        <f aca="false">IF(A202="","",H202-SUMPRODUCT(('Checkout Log'!$A$3:$A$302=A202)*('Checkout Log'!$K$3:$K$302&lt;&gt;"Returned")*N('Checkout Log'!$B$3:$B$302)))</f>
        <v>1</v>
      </c>
      <c r="D202" s="11" t="s">
        <v>250</v>
      </c>
      <c r="E202" s="9" t="str">
        <f aca="false">IF(D202="","",IFERROR(VLOOKUP(D202,Bins!$A:$B,2,0),"—"))</f>
        <v>SL3</v>
      </c>
      <c r="F202" s="9" t="s">
        <v>300</v>
      </c>
      <c r="G202" s="11"/>
      <c r="H202" s="11">
        <v>1</v>
      </c>
    </row>
    <row r="203" customFormat="false" ht="15" hidden="false" customHeight="false" outlineLevel="0" collapsed="false">
      <c r="A203" s="13" t="s">
        <v>478</v>
      </c>
      <c r="B203" s="13"/>
      <c r="C203" s="13" t="n">
        <f aca="false">IF(A203="","",H203-SUMPRODUCT(('Checkout Log'!$A$3:$A$302=A203)*('Checkout Log'!$K$3:$K$302&lt;&gt;"Returned")*N('Checkout Log'!$B$3:$B$302)))</f>
        <v>6</v>
      </c>
      <c r="D203" s="13" t="s">
        <v>250</v>
      </c>
      <c r="E203" s="8" t="str">
        <f aca="false">IF(D203="","",IFERROR(VLOOKUP(D203,Bins!$A:$B,2,0),"—"))</f>
        <v>SL3</v>
      </c>
      <c r="F203" s="8" t="s">
        <v>300</v>
      </c>
      <c r="G203" s="13"/>
      <c r="H203" s="13">
        <v>6</v>
      </c>
    </row>
    <row r="204" customFormat="false" ht="15" hidden="false" customHeight="false" outlineLevel="0" collapsed="false">
      <c r="A204" s="11" t="s">
        <v>252</v>
      </c>
      <c r="B204" s="11"/>
      <c r="C204" s="11" t="n">
        <f aca="false">IF(A204="","",H204-SUMPRODUCT(('Checkout Log'!$A$3:$A$302=A204)*('Checkout Log'!$K$3:$K$302&lt;&gt;"Returned")*N('Checkout Log'!$B$3:$B$302)))</f>
        <v>1</v>
      </c>
      <c r="D204" s="11" t="s">
        <v>252</v>
      </c>
      <c r="E204" s="9" t="str">
        <f aca="false">IF(D204="","",IFERROR(VLOOKUP(D204,Bins!$A:$B,2,0),"—"))</f>
        <v>SL3</v>
      </c>
      <c r="F204" s="9" t="s">
        <v>300</v>
      </c>
      <c r="G204" s="11"/>
      <c r="H204" s="11">
        <v>1</v>
      </c>
    </row>
    <row r="205" customFormat="false" ht="15" hidden="false" customHeight="false" outlineLevel="0" collapsed="false">
      <c r="A205" s="13" t="s">
        <v>251</v>
      </c>
      <c r="B205" s="13"/>
      <c r="C205" s="13" t="n">
        <f aca="false">IF(A205="","",H205-SUMPRODUCT(('Checkout Log'!$A$3:$A$302=A205)*('Checkout Log'!$K$3:$K$302&lt;&gt;"Returned")*N('Checkout Log'!$B$3:$B$302)))</f>
        <v>0</v>
      </c>
      <c r="D205" s="13" t="s">
        <v>251</v>
      </c>
      <c r="E205" s="8" t="str">
        <f aca="false">IF(D205="","",IFERROR(VLOOKUP(D205,Bins!$A:$B,2,0),"—"))</f>
        <v>SL3</v>
      </c>
      <c r="F205" s="8" t="s">
        <v>300</v>
      </c>
      <c r="G205" s="13"/>
      <c r="H205" s="13">
        <v>0</v>
      </c>
    </row>
    <row r="206" customFormat="false" ht="15" hidden="false" customHeight="false" outlineLevel="0" collapsed="false">
      <c r="A206" s="11" t="s">
        <v>253</v>
      </c>
      <c r="B206" s="11"/>
      <c r="C206" s="11" t="n">
        <f aca="false">IF(A206="","",H206-SUMPRODUCT(('Checkout Log'!$A$3:$A$302=A206)*('Checkout Log'!$K$3:$K$302&lt;&gt;"Returned")*N('Checkout Log'!$B$3:$B$302)))</f>
        <v>4</v>
      </c>
      <c r="D206" s="11" t="s">
        <v>253</v>
      </c>
      <c r="E206" s="9" t="str">
        <f aca="false">IF(D206="","",IFERROR(VLOOKUP(D206,Bins!$A:$B,2,0),"—"))</f>
        <v>SL3</v>
      </c>
      <c r="F206" s="9" t="s">
        <v>300</v>
      </c>
      <c r="G206" s="11"/>
      <c r="H206" s="11">
        <v>4</v>
      </c>
    </row>
    <row r="207" customFormat="false" ht="15" hidden="false" customHeight="false" outlineLevel="0" collapsed="false">
      <c r="A207" s="13" t="s">
        <v>479</v>
      </c>
      <c r="B207" s="13"/>
      <c r="C207" s="13" t="n">
        <f aca="false">IF(A207="","",H207-SUMPRODUCT(('Checkout Log'!$A$3:$A$302=A207)*('Checkout Log'!$K$3:$K$302&lt;&gt;"Returned")*N('Checkout Log'!$B$3:$B$302)))</f>
        <v>1</v>
      </c>
      <c r="D207" s="13" t="s">
        <v>256</v>
      </c>
      <c r="E207" s="8" t="str">
        <f aca="false">IF(D207="","",IFERROR(VLOOKUP(D207,Bins!$A:$B,2,0),"—"))</f>
        <v>SL3</v>
      </c>
      <c r="F207" s="8" t="s">
        <v>300</v>
      </c>
      <c r="G207" s="13"/>
      <c r="H207" s="13">
        <v>1</v>
      </c>
    </row>
    <row r="208" customFormat="false" ht="15" hidden="false" customHeight="false" outlineLevel="0" collapsed="false">
      <c r="A208" s="11" t="s">
        <v>480</v>
      </c>
      <c r="B208" s="11"/>
      <c r="C208" s="11" t="n">
        <f aca="false">IF(A208="","",H208-SUMPRODUCT(('Checkout Log'!$A$3:$A$302=A208)*('Checkout Log'!$K$3:$K$302&lt;&gt;"Returned")*N('Checkout Log'!$B$3:$B$302)))</f>
        <v>0</v>
      </c>
      <c r="D208" s="11" t="s">
        <v>49</v>
      </c>
      <c r="E208" s="9" t="str">
        <f aca="false">IF(D208="","",IFERROR(VLOOKUP(D208,Bins!$A:$B,2,0),"—"))</f>
        <v>SL4</v>
      </c>
      <c r="F208" s="9" t="s">
        <v>300</v>
      </c>
      <c r="G208" s="11"/>
      <c r="H208" s="11">
        <v>0</v>
      </c>
    </row>
    <row r="209" customFormat="false" ht="15" hidden="false" customHeight="false" outlineLevel="0" collapsed="false">
      <c r="A209" s="13" t="s">
        <v>481</v>
      </c>
      <c r="B209" s="13"/>
      <c r="C209" s="13" t="n">
        <f aca="false">IF(A209="","",H209-SUMPRODUCT(('Checkout Log'!$A$3:$A$302=A209)*('Checkout Log'!$K$3:$K$302&lt;&gt;"Returned")*N('Checkout Log'!$B$3:$B$302)))</f>
        <v>1</v>
      </c>
      <c r="D209" s="13" t="s">
        <v>49</v>
      </c>
      <c r="E209" s="8" t="str">
        <f aca="false">IF(D209="","",IFERROR(VLOOKUP(D209,Bins!$A:$B,2,0),"—"))</f>
        <v>SL4</v>
      </c>
      <c r="F209" s="8" t="s">
        <v>300</v>
      </c>
      <c r="G209" s="13"/>
      <c r="H209" s="13">
        <v>1</v>
      </c>
    </row>
    <row r="210" customFormat="false" ht="15" hidden="false" customHeight="false" outlineLevel="0" collapsed="false">
      <c r="A210" s="11" t="s">
        <v>244</v>
      </c>
      <c r="B210" s="11"/>
      <c r="C210" s="11" t="n">
        <f aca="false">IF(A210="","",H210-SUMPRODUCT(('Checkout Log'!$A$3:$A$302=A210)*('Checkout Log'!$K$3:$K$302&lt;&gt;"Returned")*N('Checkout Log'!$B$3:$B$302)))</f>
        <v>2</v>
      </c>
      <c r="D210" s="11" t="s">
        <v>244</v>
      </c>
      <c r="E210" s="9" t="str">
        <f aca="false">IF(D210="","",IFERROR(VLOOKUP(D210,Bins!$A:$B,2,0),"—"))</f>
        <v>SL4</v>
      </c>
      <c r="F210" s="9" t="s">
        <v>300</v>
      </c>
      <c r="G210" s="11"/>
      <c r="H210" s="11">
        <v>2</v>
      </c>
    </row>
    <row r="211" customFormat="false" ht="15" hidden="false" customHeight="false" outlineLevel="0" collapsed="false">
      <c r="A211" s="13" t="s">
        <v>243</v>
      </c>
      <c r="B211" s="13"/>
      <c r="C211" s="13" t="n">
        <f aca="false">IF(A211="","",H211-SUMPRODUCT(('Checkout Log'!$A$3:$A$302=A211)*('Checkout Log'!$K$3:$K$302&lt;&gt;"Returned")*N('Checkout Log'!$B$3:$B$302)))</f>
        <v>1</v>
      </c>
      <c r="D211" s="13" t="s">
        <v>243</v>
      </c>
      <c r="E211" s="8" t="str">
        <f aca="false">IF(D211="","",IFERROR(VLOOKUP(D211,Bins!$A:$B,2,0),"—"))</f>
        <v>SL4</v>
      </c>
      <c r="F211" s="8" t="s">
        <v>300</v>
      </c>
      <c r="G211" s="13"/>
      <c r="H211" s="13">
        <v>1</v>
      </c>
    </row>
    <row r="212" customFormat="false" ht="15" hidden="false" customHeight="false" outlineLevel="0" collapsed="false">
      <c r="A212" s="11" t="s">
        <v>482</v>
      </c>
      <c r="B212" s="11"/>
      <c r="C212" s="11" t="n">
        <f aca="false">IF(A212="","",H212-SUMPRODUCT(('Checkout Log'!$A$3:$A$302=A212)*('Checkout Log'!$K$3:$K$302&lt;&gt;"Returned")*N('Checkout Log'!$B$3:$B$302)))</f>
        <v>1</v>
      </c>
      <c r="D212" s="11" t="s">
        <v>239</v>
      </c>
      <c r="E212" s="9" t="str">
        <f aca="false">IF(D212="","",IFERROR(VLOOKUP(D212,Bins!$A:$B,2,0),"—"))</f>
        <v>SL4</v>
      </c>
      <c r="F212" s="9" t="s">
        <v>300</v>
      </c>
      <c r="G212" s="11"/>
      <c r="H212" s="11">
        <v>1</v>
      </c>
    </row>
    <row r="213" customFormat="false" ht="15" hidden="false" customHeight="false" outlineLevel="0" collapsed="false">
      <c r="A213" s="13" t="s">
        <v>483</v>
      </c>
      <c r="B213" s="13"/>
      <c r="C213" s="13" t="n">
        <f aca="false">IF(A213="","",H213-SUMPRODUCT(('Checkout Log'!$A$3:$A$302=A213)*('Checkout Log'!$K$3:$K$302&lt;&gt;"Returned")*N('Checkout Log'!$B$3:$B$302)))</f>
        <v>1</v>
      </c>
      <c r="D213" s="13" t="s">
        <v>239</v>
      </c>
      <c r="E213" s="8" t="str">
        <f aca="false">IF(D213="","",IFERROR(VLOOKUP(D213,Bins!$A:$B,2,0),"—"))</f>
        <v>SL4</v>
      </c>
      <c r="F213" s="8" t="s">
        <v>300</v>
      </c>
      <c r="G213" s="13"/>
      <c r="H213" s="13">
        <v>1</v>
      </c>
    </row>
    <row r="214" customFormat="false" ht="15" hidden="false" customHeight="false" outlineLevel="0" collapsed="false">
      <c r="A214" s="11" t="s">
        <v>484</v>
      </c>
      <c r="B214" s="11"/>
      <c r="C214" s="11" t="n">
        <f aca="false">IF(A214="","",H214-SUMPRODUCT(('Checkout Log'!$A$3:$A$302=A214)*('Checkout Log'!$K$3:$K$302&lt;&gt;"Returned")*N('Checkout Log'!$B$3:$B$302)))</f>
        <v>27</v>
      </c>
      <c r="D214" s="11" t="s">
        <v>242</v>
      </c>
      <c r="E214" s="9" t="str">
        <f aca="false">IF(D214="","",IFERROR(VLOOKUP(D214,Bins!$A:$B,2,0),"—"))</f>
        <v>SL4</v>
      </c>
      <c r="F214" s="9" t="s">
        <v>300</v>
      </c>
      <c r="G214" s="11"/>
      <c r="H214" s="11">
        <v>27</v>
      </c>
    </row>
    <row r="215" customFormat="false" ht="15" hidden="false" customHeight="false" outlineLevel="0" collapsed="false">
      <c r="A215" s="13" t="s">
        <v>485</v>
      </c>
      <c r="B215" s="13"/>
      <c r="C215" s="13" t="n">
        <f aca="false">IF(A215="","",H215-SUMPRODUCT(('Checkout Log'!$A$3:$A$302=A215)*('Checkout Log'!$K$3:$K$302&lt;&gt;"Returned")*N('Checkout Log'!$B$3:$B$302)))</f>
        <v>50</v>
      </c>
      <c r="D215" s="13" t="s">
        <v>242</v>
      </c>
      <c r="E215" s="8" t="str">
        <f aca="false">IF(D215="","",IFERROR(VLOOKUP(D215,Bins!$A:$B,2,0),"—"))</f>
        <v>SL4</v>
      </c>
      <c r="F215" s="8" t="s">
        <v>300</v>
      </c>
      <c r="G215" s="13"/>
      <c r="H215" s="13">
        <v>50</v>
      </c>
    </row>
    <row r="216" customFormat="false" ht="15" hidden="false" customHeight="false" outlineLevel="0" collapsed="false">
      <c r="A216" s="11" t="s">
        <v>486</v>
      </c>
      <c r="B216" s="11"/>
      <c r="C216" s="11" t="n">
        <f aca="false">IF(A216="","",H216-SUMPRODUCT(('Checkout Log'!$A$3:$A$302=A216)*('Checkout Log'!$K$3:$K$302&lt;&gt;"Returned")*N('Checkout Log'!$B$3:$B$302)))</f>
        <v>5</v>
      </c>
      <c r="D216" s="11" t="s">
        <v>257</v>
      </c>
      <c r="E216" s="9" t="str">
        <f aca="false">IF(D216="","",IFERROR(VLOOKUP(D216,Bins!$A:$B,2,0),"—"))</f>
        <v>SL2</v>
      </c>
      <c r="F216" s="9" t="s">
        <v>300</v>
      </c>
      <c r="G216" s="11"/>
      <c r="H216" s="11">
        <v>5</v>
      </c>
    </row>
    <row r="217" customFormat="false" ht="15" hidden="false" customHeight="false" outlineLevel="0" collapsed="false">
      <c r="A217" s="13" t="s">
        <v>487</v>
      </c>
      <c r="B217" s="13"/>
      <c r="C217" s="13" t="n">
        <f aca="false">IF(A217="","",H217-SUMPRODUCT(('Checkout Log'!$A$3:$A$302=A217)*('Checkout Log'!$K$3:$K$302&lt;&gt;"Returned")*N('Checkout Log'!$B$3:$B$302)))</f>
        <v>1</v>
      </c>
      <c r="D217" s="13" t="s">
        <v>257</v>
      </c>
      <c r="E217" s="8" t="str">
        <f aca="false">IF(D217="","",IFERROR(VLOOKUP(D217,Bins!$A:$B,2,0),"—"))</f>
        <v>SL2</v>
      </c>
      <c r="F217" s="8" t="s">
        <v>300</v>
      </c>
      <c r="G217" s="13"/>
      <c r="H217" s="13">
        <v>1</v>
      </c>
    </row>
    <row r="218" customFormat="false" ht="15" hidden="false" customHeight="false" outlineLevel="0" collapsed="false">
      <c r="A218" s="11" t="s">
        <v>488</v>
      </c>
      <c r="B218" s="11"/>
      <c r="C218" s="11" t="n">
        <f aca="false">IF(A218="","",H218-SUMPRODUCT(('Checkout Log'!$A$3:$A$302=A218)*('Checkout Log'!$K$3:$K$302&lt;&gt;"Returned")*N('Checkout Log'!$B$3:$B$302)))</f>
        <v>4</v>
      </c>
      <c r="D218" s="11" t="s">
        <v>257</v>
      </c>
      <c r="E218" s="9" t="str">
        <f aca="false">IF(D218="","",IFERROR(VLOOKUP(D218,Bins!$A:$B,2,0),"—"))</f>
        <v>SL2</v>
      </c>
      <c r="F218" s="9" t="s">
        <v>300</v>
      </c>
      <c r="G218" s="11"/>
      <c r="H218" s="11">
        <v>4</v>
      </c>
    </row>
    <row r="219" customFormat="false" ht="15" hidden="false" customHeight="false" outlineLevel="0" collapsed="false">
      <c r="A219" s="13" t="s">
        <v>258</v>
      </c>
      <c r="B219" s="13"/>
      <c r="C219" s="13" t="n">
        <f aca="false">IF(A219="","",H219-SUMPRODUCT(('Checkout Log'!$A$3:$A$302=A219)*('Checkout Log'!$K$3:$K$302&lt;&gt;"Returned")*N('Checkout Log'!$B$3:$B$302)))</f>
        <v>1</v>
      </c>
      <c r="D219" s="13" t="s">
        <v>258</v>
      </c>
      <c r="E219" s="8" t="str">
        <f aca="false">IF(D219="","",IFERROR(VLOOKUP(D219,Bins!$A:$B,2,0),"—"))</f>
        <v>SL2</v>
      </c>
      <c r="F219" s="8" t="s">
        <v>300</v>
      </c>
      <c r="G219" s="13"/>
      <c r="H219" s="13">
        <v>1</v>
      </c>
    </row>
    <row r="220" customFormat="false" ht="15" hidden="false" customHeight="false" outlineLevel="0" collapsed="false">
      <c r="A220" s="11" t="s">
        <v>259</v>
      </c>
      <c r="B220" s="11"/>
      <c r="C220" s="11" t="n">
        <f aca="false">IF(A220="","",H220-SUMPRODUCT(('Checkout Log'!$A$3:$A$302=A220)*('Checkout Log'!$K$3:$K$302&lt;&gt;"Returned")*N('Checkout Log'!$B$3:$B$302)))</f>
        <v>1</v>
      </c>
      <c r="D220" s="11" t="s">
        <v>259</v>
      </c>
      <c r="E220" s="9" t="str">
        <f aca="false">IF(D220="","",IFERROR(VLOOKUP(D220,Bins!$A:$B,2,0),"—"))</f>
        <v>SL2</v>
      </c>
      <c r="F220" s="9" t="s">
        <v>300</v>
      </c>
      <c r="G220" s="11"/>
      <c r="H220" s="11">
        <v>1</v>
      </c>
    </row>
    <row r="221" customFormat="false" ht="15" hidden="false" customHeight="false" outlineLevel="0" collapsed="false">
      <c r="A221" s="13" t="s">
        <v>285</v>
      </c>
      <c r="B221" s="13"/>
      <c r="C221" s="13" t="n">
        <f aca="false">IF(A221="","",H221-SUMPRODUCT(('Checkout Log'!$A$3:$A$302=A221)*('Checkout Log'!$K$3:$K$302&lt;&gt;"Returned")*N('Checkout Log'!$B$3:$B$302)))</f>
        <v>1</v>
      </c>
      <c r="D221" s="13" t="s">
        <v>285</v>
      </c>
      <c r="E221" s="8" t="str">
        <f aca="false">IF(D221="","",IFERROR(VLOOKUP(D221,Bins!$A:$B,2,0),"—"))</f>
        <v>SL2</v>
      </c>
      <c r="F221" s="8" t="s">
        <v>300</v>
      </c>
      <c r="G221" s="13"/>
      <c r="H221" s="13">
        <v>1</v>
      </c>
    </row>
    <row r="222" customFormat="false" ht="15" hidden="false" customHeight="false" outlineLevel="0" collapsed="false">
      <c r="A222" s="11" t="s">
        <v>489</v>
      </c>
      <c r="B222" s="11"/>
      <c r="C222" s="11" t="n">
        <f aca="false">IF(A222="","",H222-SUMPRODUCT(('Checkout Log'!$A$3:$A$302=A222)*('Checkout Log'!$K$3:$K$302&lt;&gt;"Returned")*N('Checkout Log'!$B$3:$B$302)))</f>
        <v>4</v>
      </c>
      <c r="D222" s="11" t="s">
        <v>261</v>
      </c>
      <c r="E222" s="9" t="str">
        <f aca="false">IF(D222="","",IFERROR(VLOOKUP(D222,Bins!$A:$B,2,0),"—"))</f>
        <v>SL2</v>
      </c>
      <c r="F222" s="9" t="s">
        <v>300</v>
      </c>
      <c r="G222" s="11"/>
      <c r="H222" s="11">
        <v>4</v>
      </c>
    </row>
    <row r="223" customFormat="false" ht="15" hidden="false" customHeight="false" outlineLevel="0" collapsed="false">
      <c r="A223" s="13" t="s">
        <v>262</v>
      </c>
      <c r="B223" s="13"/>
      <c r="C223" s="13" t="n">
        <f aca="false">IF(A223="","",H223-SUMPRODUCT(('Checkout Log'!$A$3:$A$302=A223)*('Checkout Log'!$K$3:$K$302&lt;&gt;"Returned")*N('Checkout Log'!$B$3:$B$302)))</f>
        <v>11</v>
      </c>
      <c r="D223" s="13" t="s">
        <v>262</v>
      </c>
      <c r="E223" s="8" t="str">
        <f aca="false">IF(D223="","",IFERROR(VLOOKUP(D223,Bins!$A:$B,2,0),"—"))</f>
        <v>SL2</v>
      </c>
      <c r="F223" s="8" t="s">
        <v>300</v>
      </c>
      <c r="G223" s="13"/>
      <c r="H223" s="13">
        <v>11</v>
      </c>
    </row>
    <row r="224" customFormat="false" ht="15" hidden="false" customHeight="false" outlineLevel="0" collapsed="false">
      <c r="A224" s="11" t="s">
        <v>263</v>
      </c>
      <c r="B224" s="11"/>
      <c r="C224" s="11" t="n">
        <f aca="false">IF(A224="","",H224-SUMPRODUCT(('Checkout Log'!$A$3:$A$302=A224)*('Checkout Log'!$K$3:$K$302&lt;&gt;"Returned")*N('Checkout Log'!$B$3:$B$302)))</f>
        <v>10</v>
      </c>
      <c r="D224" s="11" t="s">
        <v>263</v>
      </c>
      <c r="E224" s="9" t="str">
        <f aca="false">IF(D224="","",IFERROR(VLOOKUP(D224,Bins!$A:$B,2,0),"—"))</f>
        <v>SL2</v>
      </c>
      <c r="F224" s="9" t="s">
        <v>300</v>
      </c>
      <c r="G224" s="11"/>
      <c r="H224" s="11">
        <v>10</v>
      </c>
    </row>
    <row r="225" customFormat="false" ht="15" hidden="false" customHeight="false" outlineLevel="0" collapsed="false">
      <c r="A225" s="13" t="s">
        <v>264</v>
      </c>
      <c r="B225" s="13"/>
      <c r="C225" s="13" t="n">
        <f aca="false">IF(A225="","",H225-SUMPRODUCT(('Checkout Log'!$A$3:$A$302=A225)*('Checkout Log'!$K$3:$K$302&lt;&gt;"Returned")*N('Checkout Log'!$B$3:$B$302)))</f>
        <v>1</v>
      </c>
      <c r="D225" s="13" t="s">
        <v>264</v>
      </c>
      <c r="E225" s="8" t="str">
        <f aca="false">IF(D225="","",IFERROR(VLOOKUP(D225,Bins!$A:$B,2,0),"—"))</f>
        <v>SL2</v>
      </c>
      <c r="F225" s="8" t="s">
        <v>300</v>
      </c>
      <c r="G225" s="13"/>
      <c r="H225" s="13">
        <v>1</v>
      </c>
    </row>
    <row r="226" customFormat="false" ht="15" hidden="false" customHeight="false" outlineLevel="0" collapsed="false">
      <c r="A226" s="11" t="s">
        <v>265</v>
      </c>
      <c r="B226" s="11"/>
      <c r="C226" s="11" t="n">
        <f aca="false">IF(A226="","",H226-SUMPRODUCT(('Checkout Log'!$A$3:$A$302=A226)*('Checkout Log'!$K$3:$K$302&lt;&gt;"Returned")*N('Checkout Log'!$B$3:$B$302)))</f>
        <v>10</v>
      </c>
      <c r="D226" s="11" t="s">
        <v>265</v>
      </c>
      <c r="E226" s="9" t="str">
        <f aca="false">IF(D226="","",IFERROR(VLOOKUP(D226,Bins!$A:$B,2,0),"—"))</f>
        <v>SL2</v>
      </c>
      <c r="F226" s="9" t="s">
        <v>300</v>
      </c>
      <c r="G226" s="11"/>
      <c r="H226" s="11">
        <v>10</v>
      </c>
    </row>
    <row r="227" customFormat="false" ht="15" hidden="false" customHeight="false" outlineLevel="0" collapsed="false">
      <c r="A227" s="13" t="s">
        <v>266</v>
      </c>
      <c r="B227" s="13"/>
      <c r="C227" s="13" t="n">
        <f aca="false">IF(A227="","",H227-SUMPRODUCT(('Checkout Log'!$A$3:$A$302=A227)*('Checkout Log'!$K$3:$K$302&lt;&gt;"Returned")*N('Checkout Log'!$B$3:$B$302)))</f>
        <v>11</v>
      </c>
      <c r="D227" s="13" t="s">
        <v>266</v>
      </c>
      <c r="E227" s="8" t="str">
        <f aca="false">IF(D227="","",IFERROR(VLOOKUP(D227,Bins!$A:$B,2,0),"—"))</f>
        <v>SL2</v>
      </c>
      <c r="F227" s="8" t="s">
        <v>300</v>
      </c>
      <c r="G227" s="13"/>
      <c r="H227" s="13">
        <v>11</v>
      </c>
    </row>
    <row r="228" customFormat="false" ht="15" hidden="false" customHeight="false" outlineLevel="0" collapsed="false">
      <c r="A228" s="11" t="s">
        <v>268</v>
      </c>
      <c r="B228" s="11"/>
      <c r="C228" s="11" t="n">
        <f aca="false">IF(A228="","",H228-SUMPRODUCT(('Checkout Log'!$A$3:$A$302=A228)*('Checkout Log'!$K$3:$K$302&lt;&gt;"Returned")*N('Checkout Log'!$B$3:$B$302)))</f>
        <v>23</v>
      </c>
      <c r="D228" s="11" t="s">
        <v>268</v>
      </c>
      <c r="E228" s="9" t="str">
        <f aca="false">IF(D228="","",IFERROR(VLOOKUP(D228,Bins!$A:$B,2,0),"—"))</f>
        <v>SL2</v>
      </c>
      <c r="F228" s="9" t="s">
        <v>300</v>
      </c>
      <c r="G228" s="11"/>
      <c r="H228" s="11">
        <v>23</v>
      </c>
    </row>
    <row r="229" customFormat="false" ht="15" hidden="false" customHeight="false" outlineLevel="0" collapsed="false">
      <c r="A229" s="13" t="s">
        <v>269</v>
      </c>
      <c r="B229" s="13"/>
      <c r="C229" s="13" t="n">
        <f aca="false">IF(A229="","",H229-SUMPRODUCT(('Checkout Log'!$A$3:$A$302=A229)*('Checkout Log'!$K$3:$K$302&lt;&gt;"Returned")*N('Checkout Log'!$B$3:$B$302)))</f>
        <v>2</v>
      </c>
      <c r="D229" s="13" t="s">
        <v>269</v>
      </c>
      <c r="E229" s="8" t="str">
        <f aca="false">IF(D229="","",IFERROR(VLOOKUP(D229,Bins!$A:$B,2,0),"—"))</f>
        <v>SL2</v>
      </c>
      <c r="F229" s="8" t="s">
        <v>300</v>
      </c>
      <c r="G229" s="13"/>
      <c r="H229" s="13">
        <v>2</v>
      </c>
    </row>
    <row r="230" customFormat="false" ht="15" hidden="false" customHeight="false" outlineLevel="0" collapsed="false">
      <c r="A230" s="11" t="s">
        <v>270</v>
      </c>
      <c r="B230" s="11"/>
      <c r="C230" s="11" t="n">
        <f aca="false">IF(A230="","",H230-SUMPRODUCT(('Checkout Log'!$A$3:$A$302=A230)*('Checkout Log'!$K$3:$K$302&lt;&gt;"Returned")*N('Checkout Log'!$B$3:$B$302)))</f>
        <v>12</v>
      </c>
      <c r="D230" s="11" t="s">
        <v>270</v>
      </c>
      <c r="E230" s="9" t="str">
        <f aca="false">IF(D230="","",IFERROR(VLOOKUP(D230,Bins!$A:$B,2,0),"—"))</f>
        <v>SL2</v>
      </c>
      <c r="F230" s="9" t="s">
        <v>300</v>
      </c>
      <c r="G230" s="11"/>
      <c r="H230" s="11">
        <v>12</v>
      </c>
    </row>
    <row r="231" customFormat="false" ht="15" hidden="false" customHeight="false" outlineLevel="0" collapsed="false">
      <c r="A231" s="13" t="s">
        <v>271</v>
      </c>
      <c r="B231" s="13"/>
      <c r="C231" s="13" t="n">
        <f aca="false">IF(A231="","",H231-SUMPRODUCT(('Checkout Log'!$A$3:$A$302=A231)*('Checkout Log'!$K$3:$K$302&lt;&gt;"Returned")*N('Checkout Log'!$B$3:$B$302)))</f>
        <v>1</v>
      </c>
      <c r="D231" s="13"/>
      <c r="E231" s="8" t="str">
        <f aca="false">IF(D231="","",IFERROR(VLOOKUP(D231,Bins!$A:$B,2,0),"—"))</f>
        <v/>
      </c>
      <c r="F231" s="8" t="s">
        <v>300</v>
      </c>
      <c r="G231" s="13" t="s">
        <v>490</v>
      </c>
      <c r="H231" s="13">
        <v>1</v>
      </c>
    </row>
    <row r="232" customFormat="false" ht="15" hidden="false" customHeight="false" outlineLevel="0" collapsed="false">
      <c r="A232" s="11" t="s">
        <v>491</v>
      </c>
      <c r="B232" s="11"/>
      <c r="C232" s="11" t="n">
        <f aca="false">IF(A232="","",H232-SUMPRODUCT(('Checkout Log'!$A$3:$A$302=A232)*('Checkout Log'!$K$3:$K$302&lt;&gt;"Returned")*N('Checkout Log'!$B$3:$B$302)))</f>
        <v>4</v>
      </c>
      <c r="D232" s="11" t="s">
        <v>272</v>
      </c>
      <c r="E232" s="9" t="str">
        <f aca="false">IF(D232="","",IFERROR(VLOOKUP(D232,Bins!$A:$B,2,0),"—"))</f>
        <v>SL2</v>
      </c>
      <c r="F232" s="9" t="s">
        <v>300</v>
      </c>
      <c r="G232" s="11"/>
      <c r="H232" s="11">
        <v>4</v>
      </c>
    </row>
    <row r="233" customFormat="false" ht="15" hidden="false" customHeight="false" outlineLevel="0" collapsed="false">
      <c r="A233" s="13" t="s">
        <v>276</v>
      </c>
      <c r="B233" s="13"/>
      <c r="C233" s="13" t="n">
        <f aca="false">IF(A233="","",H233-SUMPRODUCT(('Checkout Log'!$A$3:$A$302=A233)*('Checkout Log'!$K$3:$K$302&lt;&gt;"Returned")*N('Checkout Log'!$B$3:$B$302)))</f>
        <v>4</v>
      </c>
      <c r="D233" s="13" t="s">
        <v>276</v>
      </c>
      <c r="E233" s="8" t="str">
        <f aca="false">IF(D233="","",IFERROR(VLOOKUP(D233,Bins!$A:$B,2,0),"—"))</f>
        <v>SL2</v>
      </c>
      <c r="F233" s="8" t="s">
        <v>300</v>
      </c>
      <c r="G233" s="13"/>
      <c r="H233" s="13">
        <v>4</v>
      </c>
    </row>
    <row r="234" customFormat="false" ht="15" hidden="false" customHeight="false" outlineLevel="0" collapsed="false">
      <c r="A234" s="11" t="s">
        <v>277</v>
      </c>
      <c r="B234" s="11"/>
      <c r="C234" s="11" t="n">
        <f aca="false">IF(A234="","",H234-SUMPRODUCT(('Checkout Log'!$A$3:$A$302=A234)*('Checkout Log'!$K$3:$K$302&lt;&gt;"Returned")*N('Checkout Log'!$B$3:$B$302)))</f>
        <v>4</v>
      </c>
      <c r="D234" s="11" t="s">
        <v>277</v>
      </c>
      <c r="E234" s="9" t="str">
        <f aca="false">IF(D234="","",IFERROR(VLOOKUP(D234,Bins!$A:$B,2,0),"—"))</f>
        <v>SL2</v>
      </c>
      <c r="F234" s="9" t="s">
        <v>300</v>
      </c>
      <c r="G234" s="11"/>
      <c r="H234" s="11">
        <v>4</v>
      </c>
    </row>
    <row r="235" customFormat="false" ht="15" hidden="false" customHeight="false" outlineLevel="0" collapsed="false">
      <c r="A235" s="13" t="s">
        <v>273</v>
      </c>
      <c r="B235" s="13"/>
      <c r="C235" s="13" t="n">
        <f aca="false">IF(A235="","",H235-SUMPRODUCT(('Checkout Log'!$A$3:$A$302=A235)*('Checkout Log'!$K$3:$K$302&lt;&gt;"Returned")*N('Checkout Log'!$B$3:$B$302)))</f>
        <v>6</v>
      </c>
      <c r="D235" s="13" t="s">
        <v>273</v>
      </c>
      <c r="E235" s="8" t="str">
        <f aca="false">IF(D235="","",IFERROR(VLOOKUP(D235,Bins!$A:$B,2,0),"—"))</f>
        <v>SL2</v>
      </c>
      <c r="F235" s="8" t="s">
        <v>300</v>
      </c>
      <c r="G235" s="13"/>
      <c r="H235" s="13">
        <v>6</v>
      </c>
    </row>
    <row r="236" customFormat="false" ht="15" hidden="false" customHeight="false" outlineLevel="0" collapsed="false">
      <c r="A236" s="11" t="s">
        <v>291</v>
      </c>
      <c r="B236" s="11"/>
      <c r="C236" s="11" t="n">
        <f aca="false">IF(A236="","",H236-SUMPRODUCT(('Checkout Log'!$A$3:$A$302=A236)*('Checkout Log'!$K$3:$K$302&lt;&gt;"Returned")*N('Checkout Log'!$B$3:$B$302)))</f>
        <v>10</v>
      </c>
      <c r="D236" s="11" t="s">
        <v>291</v>
      </c>
      <c r="E236" s="9" t="str">
        <f aca="false">IF(D236="","",IFERROR(VLOOKUP(D236,Bins!$A:$B,2,0),"—"))</f>
        <v>SL1</v>
      </c>
      <c r="F236" s="9" t="s">
        <v>300</v>
      </c>
      <c r="G236" s="11"/>
      <c r="H236" s="11">
        <v>10</v>
      </c>
    </row>
    <row r="237" customFormat="false" ht="15" hidden="false" customHeight="false" outlineLevel="0" collapsed="false">
      <c r="A237" s="13" t="s">
        <v>275</v>
      </c>
      <c r="B237" s="13"/>
      <c r="C237" s="13" t="n">
        <f aca="false">IF(A237="","",H237-SUMPRODUCT(('Checkout Log'!$A$3:$A$302=A237)*('Checkout Log'!$K$3:$K$302&lt;&gt;"Returned")*N('Checkout Log'!$B$3:$B$302)))</f>
        <v>5</v>
      </c>
      <c r="D237" s="13" t="s">
        <v>275</v>
      </c>
      <c r="E237" s="8" t="str">
        <f aca="false">IF(D237="","",IFERROR(VLOOKUP(D237,Bins!$A:$B,2,0),"—"))</f>
        <v>SL2</v>
      </c>
      <c r="F237" s="8" t="s">
        <v>300</v>
      </c>
      <c r="G237" s="13" t="s">
        <v>492</v>
      </c>
      <c r="H237" s="13">
        <v>6</v>
      </c>
    </row>
    <row r="238" customFormat="false" ht="15" hidden="false" customHeight="false" outlineLevel="0" collapsed="false">
      <c r="A238" s="11" t="s">
        <v>293</v>
      </c>
      <c r="B238" s="11"/>
      <c r="C238" s="11" t="n">
        <f aca="false">IF(A238="","",H238-SUMPRODUCT(('Checkout Log'!$A$3:$A$302=A238)*('Checkout Log'!$K$3:$K$302&lt;&gt;"Returned")*N('Checkout Log'!$B$3:$B$302)))</f>
        <v>1</v>
      </c>
      <c r="D238" s="11" t="s">
        <v>293</v>
      </c>
      <c r="E238" s="9" t="str">
        <f aca="false">IF(D238="","",IFERROR(VLOOKUP(D238,Bins!$A:$B,2,0),"—"))</f>
        <v>SL1</v>
      </c>
      <c r="F238" s="9" t="s">
        <v>300</v>
      </c>
      <c r="G238" s="11"/>
      <c r="H238" s="11">
        <v>1</v>
      </c>
    </row>
    <row r="239" customFormat="false" ht="15" hidden="false" customHeight="false" outlineLevel="0" collapsed="false">
      <c r="A239" s="13" t="s">
        <v>289</v>
      </c>
      <c r="B239" s="13"/>
      <c r="C239" s="13" t="n">
        <f aca="false">IF(A239="","",H239-SUMPRODUCT(('Checkout Log'!$A$3:$A$302=A239)*('Checkout Log'!$K$3:$K$302&lt;&gt;"Returned")*N('Checkout Log'!$B$3:$B$302)))</f>
        <v>4</v>
      </c>
      <c r="D239" s="13" t="s">
        <v>289</v>
      </c>
      <c r="E239" s="8" t="str">
        <f aca="false">IF(D239="","",IFERROR(VLOOKUP(D239,Bins!$A:$B,2,0),"—"))</f>
        <v>SL1</v>
      </c>
      <c r="F239" s="8" t="s">
        <v>300</v>
      </c>
      <c r="G239" s="13"/>
      <c r="H239" s="13">
        <v>4</v>
      </c>
    </row>
    <row r="240" customFormat="false" ht="15" hidden="false" customHeight="false" outlineLevel="0" collapsed="false">
      <c r="A240" s="11" t="s">
        <v>493</v>
      </c>
      <c r="B240" s="11"/>
      <c r="C240" s="11" t="n">
        <f aca="false">IF(A240="","",H240-SUMPRODUCT(('Checkout Log'!$A$3:$A$302=A240)*('Checkout Log'!$K$3:$K$302&lt;&gt;"Returned")*N('Checkout Log'!$B$3:$B$302)))</f>
        <v>3</v>
      </c>
      <c r="D240" s="11" t="s">
        <v>102</v>
      </c>
      <c r="E240" s="9" t="str">
        <f aca="false">IF(D240="","",IFERROR(VLOOKUP(D240,Bins!$A:$B,2,0),"—"))</f>
        <v>C4</v>
      </c>
      <c r="F240" s="9" t="s">
        <v>300</v>
      </c>
      <c r="G240" s="11"/>
      <c r="H240" s="11">
        <v>3</v>
      </c>
    </row>
    <row r="241" customFormat="false" ht="15" hidden="false" customHeight="false" outlineLevel="0" collapsed="false">
      <c r="A241" s="13" t="s">
        <v>494</v>
      </c>
      <c r="B241" s="13"/>
      <c r="C241" s="13" t="n">
        <f aca="false">IF(A241="","",H241-SUMPRODUCT(('Checkout Log'!$A$3:$A$302=A241)*('Checkout Log'!$K$3:$K$302&lt;&gt;"Returned")*N('Checkout Log'!$B$3:$B$302)))</f>
        <v>5</v>
      </c>
      <c r="D241" s="13" t="s">
        <v>102</v>
      </c>
      <c r="E241" s="8" t="str">
        <f aca="false">IF(D241="","",IFERROR(VLOOKUP(D241,Bins!$A:$B,2,0),"—"))</f>
        <v>C4</v>
      </c>
      <c r="F241" s="8" t="s">
        <v>300</v>
      </c>
      <c r="G241" s="13"/>
      <c r="H241" s="13">
        <v>5</v>
      </c>
    </row>
    <row r="242" customFormat="false" ht="15" hidden="false" customHeight="false" outlineLevel="0" collapsed="false">
      <c r="A242" s="11" t="s">
        <v>495</v>
      </c>
      <c r="B242" s="11"/>
      <c r="C242" s="11" t="n">
        <f aca="false">IF(A242="","",H242-SUMPRODUCT(('Checkout Log'!$A$3:$A$302=A242)*('Checkout Log'!$K$3:$K$302&lt;&gt;"Returned")*N('Checkout Log'!$B$3:$B$302)))</f>
        <v>50</v>
      </c>
      <c r="D242" s="11" t="s">
        <v>66</v>
      </c>
      <c r="E242" s="9" t="str">
        <f aca="false">IF(D242="","",IFERROR(VLOOKUP(D242,Bins!$A:$B,2,0),"—"))</f>
        <v>C1</v>
      </c>
      <c r="F242" s="9" t="s">
        <v>300</v>
      </c>
      <c r="G242" s="11"/>
      <c r="H242" s="11">
        <v>50</v>
      </c>
    </row>
    <row r="243" customFormat="false" ht="15" hidden="false" customHeight="false" outlineLevel="0" collapsed="false">
      <c r="A243" s="13" t="s">
        <v>294</v>
      </c>
      <c r="B243" s="13"/>
      <c r="C243" s="13" t="n">
        <f aca="false">IF(A243="","",H243-SUMPRODUCT(('Checkout Log'!$A$3:$A$302=A243)*('Checkout Log'!$K$3:$K$302&lt;&gt;"Returned")*N('Checkout Log'!$B$3:$B$302)))</f>
        <v>0</v>
      </c>
      <c r="D243" s="13"/>
      <c r="E243" s="8" t="str">
        <f aca="false">IF(D243="","",IFERROR(VLOOKUP(D243,Bins!$A:$B,2,0),"—"))</f>
        <v/>
      </c>
      <c r="F243" s="8" t="s">
        <v>300</v>
      </c>
      <c r="G243" s="13"/>
      <c r="H243" s="13">
        <v>0</v>
      </c>
    </row>
    <row r="244" customFormat="false" ht="15" hidden="false" customHeight="false" outlineLevel="0" collapsed="false">
      <c r="A244" s="11" t="s">
        <v>294</v>
      </c>
      <c r="B244" s="11"/>
      <c r="C244" s="11" t="n">
        <f aca="false">IF(A244="","",H244-SUMPRODUCT(('Checkout Log'!$A$3:$A$302=A244)*('Checkout Log'!$K$3:$K$302&lt;&gt;"Returned")*N('Checkout Log'!$B$3:$B$302)))</f>
        <v>0</v>
      </c>
      <c r="D244" s="11"/>
      <c r="E244" s="9" t="str">
        <f aca="false">IF(D244="","",IFERROR(VLOOKUP(D244,Bins!$A:$B,2,0),"—"))</f>
        <v/>
      </c>
      <c r="F244" s="9" t="s">
        <v>300</v>
      </c>
      <c r="G244" s="11"/>
      <c r="H244" s="11">
        <v>0</v>
      </c>
    </row>
    <row r="245" customFormat="false" ht="15" hidden="false" customHeight="false" outlineLevel="0" collapsed="false">
      <c r="A245" s="13" t="s">
        <v>496</v>
      </c>
      <c r="B245" s="13"/>
      <c r="C245" s="13" t="n">
        <f aca="false">IF(A245="","",H245-SUMPRODUCT(('Checkout Log'!$A$3:$A$302=A245)*('Checkout Log'!$K$3:$K$302&lt;&gt;"Returned")*N('Checkout Log'!$B$3:$B$302)))</f>
        <v>10</v>
      </c>
      <c r="D245" s="13" t="s">
        <v>294</v>
      </c>
      <c r="E245" s="8" t="str">
        <f aca="false">IF(D245="","",IFERROR(VLOOKUP(D245,Bins!$A:$B,2,0),"—"))</f>
        <v>C2</v>
      </c>
      <c r="F245" s="8" t="s">
        <v>300</v>
      </c>
      <c r="G245" s="13"/>
      <c r="H245" s="13">
        <v>10</v>
      </c>
    </row>
    <row r="246" customFormat="false" ht="15" hidden="false" customHeight="false" outlineLevel="0" collapsed="false">
      <c r="A246" s="11" t="s">
        <v>105</v>
      </c>
      <c r="B246" s="11"/>
      <c r="C246" s="11" t="n">
        <f aca="false">IF(A246="","",H246-SUMPRODUCT(('Checkout Log'!$A$3:$A$302=A246)*('Checkout Log'!$K$3:$K$302&lt;&gt;"Returned")*N('Checkout Log'!$B$3:$B$302)))</f>
        <v>10</v>
      </c>
      <c r="D246" s="11" t="s">
        <v>105</v>
      </c>
      <c r="E246" s="9" t="str">
        <f aca="false">IF(D246="","",IFERROR(VLOOKUP(D246,Bins!$A:$B,2,0),"—"))</f>
        <v>C4</v>
      </c>
      <c r="F246" s="9" t="s">
        <v>300</v>
      </c>
      <c r="G246" s="11"/>
      <c r="H246" s="11">
        <v>10</v>
      </c>
    </row>
    <row r="247" customFormat="false" ht="15" hidden="false" customHeight="false" outlineLevel="0" collapsed="false">
      <c r="A247" s="13"/>
      <c r="B247" s="13"/>
      <c r="C247" s="13" t="str">
        <f aca="false">IF(A247="","",H247-SUMPRODUCT(('Checkout Log'!$A$3:$A$302=A247)*('Checkout Log'!$K$3:$K$302&lt;&gt;"Returned")*N('Checkout Log'!$B$3:$B$302)))</f>
        <v/>
      </c>
      <c r="D247" s="13"/>
      <c r="E247" s="8" t="str">
        <f aca="false">IF(D247="","",IFERROR(VLOOKUP(D247,Bins!$A:$B,2,0),"—"))</f>
        <v/>
      </c>
      <c r="F247" s="8"/>
      <c r="G247" s="13"/>
      <c r="H247" s="13"/>
    </row>
    <row r="248" customFormat="false" ht="15" hidden="false" customHeight="false" outlineLevel="0" collapsed="false">
      <c r="A248" s="11"/>
      <c r="B248" s="11"/>
      <c r="C248" s="11" t="str">
        <f aca="false">IF(A248="","",H248-SUMPRODUCT(('Checkout Log'!$A$3:$A$302=A248)*('Checkout Log'!$K$3:$K$302&lt;&gt;"Returned")*N('Checkout Log'!$B$3:$B$302)))</f>
        <v/>
      </c>
      <c r="D248" s="11"/>
      <c r="E248" s="9" t="str">
        <f aca="false">IF(D248="","",IFERROR(VLOOKUP(D248,Bins!$A:$B,2,0),"—"))</f>
        <v/>
      </c>
      <c r="F248" s="9"/>
      <c r="G248" s="11"/>
      <c r="H248" s="11"/>
    </row>
    <row r="249" customFormat="false" ht="15" hidden="false" customHeight="false" outlineLevel="0" collapsed="false">
      <c r="A249" s="13"/>
      <c r="B249" s="13"/>
      <c r="C249" s="13" t="str">
        <f aca="false">IF(A249="","",H249-SUMPRODUCT(('Checkout Log'!$A$3:$A$302=A249)*('Checkout Log'!$K$3:$K$302&lt;&gt;"Returned")*N('Checkout Log'!$B$3:$B$302)))</f>
        <v/>
      </c>
      <c r="D249" s="13"/>
      <c r="E249" s="8" t="str">
        <f aca="false">IF(D249="","",IFERROR(VLOOKUP(D249,Bins!$A:$B,2,0),"—"))</f>
        <v/>
      </c>
      <c r="F249" s="8"/>
      <c r="G249" s="13"/>
      <c r="H249" s="13"/>
    </row>
    <row r="250" customFormat="false" ht="15" hidden="false" customHeight="false" outlineLevel="0" collapsed="false">
      <c r="A250" s="11"/>
      <c r="B250" s="11"/>
      <c r="C250" s="11" t="str">
        <f aca="false">IF(A250="","",H250-SUMPRODUCT(('Checkout Log'!$A$3:$A$302=A250)*('Checkout Log'!$K$3:$K$302&lt;&gt;"Returned")*N('Checkout Log'!$B$3:$B$302)))</f>
        <v/>
      </c>
      <c r="D250" s="11"/>
      <c r="E250" s="9" t="str">
        <f aca="false">IF(D250="","",IFERROR(VLOOKUP(D250,Bins!$A:$B,2,0),"—"))</f>
        <v/>
      </c>
      <c r="F250" s="9"/>
      <c r="G250" s="11"/>
      <c r="H250" s="11"/>
    </row>
    <row r="251" customFormat="false" ht="15" hidden="false" customHeight="false" outlineLevel="0" collapsed="false">
      <c r="A251" s="13"/>
      <c r="B251" s="13"/>
      <c r="C251" s="13" t="str">
        <f aca="false">IF(A251="","",H251-SUMPRODUCT(('Checkout Log'!$A$3:$A$302=A251)*('Checkout Log'!$K$3:$K$302&lt;&gt;"Returned")*N('Checkout Log'!$B$3:$B$302)))</f>
        <v/>
      </c>
      <c r="D251" s="13"/>
      <c r="E251" s="8" t="str">
        <f aca="false">IF(D251="","",IFERROR(VLOOKUP(D251,Bins!$A:$B,2,0),"—"))</f>
        <v/>
      </c>
      <c r="F251" s="8"/>
      <c r="G251" s="13"/>
      <c r="H251" s="13"/>
    </row>
    <row r="252" customFormat="false" ht="15" hidden="false" customHeight="false" outlineLevel="0" collapsed="false">
      <c r="A252" s="11"/>
      <c r="B252" s="11"/>
      <c r="C252" s="11" t="str">
        <f aca="false">IF(A252="","",H252-SUMPRODUCT(('Checkout Log'!$A$3:$A$302=A252)*('Checkout Log'!$K$3:$K$302&lt;&gt;"Returned")*N('Checkout Log'!$B$3:$B$302)))</f>
        <v/>
      </c>
      <c r="D252" s="11"/>
      <c r="E252" s="9" t="str">
        <f aca="false">IF(D252="","",IFERROR(VLOOKUP(D252,Bins!$A:$B,2,0),"—"))</f>
        <v/>
      </c>
      <c r="F252" s="9"/>
      <c r="G252" s="11"/>
      <c r="H252" s="11"/>
    </row>
    <row r="253" customFormat="false" ht="15" hidden="false" customHeight="false" outlineLevel="0" collapsed="false">
      <c r="A253" s="13"/>
      <c r="B253" s="13"/>
      <c r="C253" s="13" t="str">
        <f aca="false">IF(A253="","",H253-SUMPRODUCT(('Checkout Log'!$A$3:$A$302=A253)*('Checkout Log'!$K$3:$K$302&lt;&gt;"Returned")*N('Checkout Log'!$B$3:$B$302)))</f>
        <v/>
      </c>
      <c r="D253" s="13"/>
      <c r="E253" s="8" t="str">
        <f aca="false">IF(D253="","",IFERROR(VLOOKUP(D253,Bins!$A:$B,2,0),"—"))</f>
        <v/>
      </c>
      <c r="F253" s="8"/>
      <c r="G253" s="13"/>
      <c r="H253" s="13"/>
    </row>
    <row r="254" customFormat="false" ht="15" hidden="false" customHeight="false" outlineLevel="0" collapsed="false">
      <c r="A254" s="11"/>
      <c r="B254" s="11"/>
      <c r="C254" s="11" t="str">
        <f aca="false">IF(A254="","",H254-SUMPRODUCT(('Checkout Log'!$A$3:$A$302=A254)*('Checkout Log'!$K$3:$K$302&lt;&gt;"Returned")*N('Checkout Log'!$B$3:$B$302)))</f>
        <v/>
      </c>
      <c r="D254" s="11"/>
      <c r="E254" s="9" t="str">
        <f aca="false">IF(D254="","",IFERROR(VLOOKUP(D254,Bins!$A:$B,2,0),"—"))</f>
        <v/>
      </c>
      <c r="F254" s="9"/>
      <c r="G254" s="11"/>
      <c r="H254" s="11"/>
    </row>
    <row r="255" customFormat="false" ht="15" hidden="false" customHeight="false" outlineLevel="0" collapsed="false">
      <c r="A255" s="13"/>
      <c r="B255" s="13"/>
      <c r="C255" s="13" t="str">
        <f aca="false">IF(A255="","",H255-SUMPRODUCT(('Checkout Log'!$A$3:$A$302=A255)*('Checkout Log'!$K$3:$K$302&lt;&gt;"Returned")*N('Checkout Log'!$B$3:$B$302)))</f>
        <v/>
      </c>
      <c r="D255" s="13"/>
      <c r="E255" s="8" t="str">
        <f aca="false">IF(D255="","",IFERROR(VLOOKUP(D255,Bins!$A:$B,2,0),"—"))</f>
        <v/>
      </c>
      <c r="F255" s="8"/>
      <c r="G255" s="13"/>
      <c r="H255" s="13"/>
    </row>
    <row r="256" customFormat="false" ht="15" hidden="false" customHeight="false" outlineLevel="0" collapsed="false">
      <c r="A256" s="11"/>
      <c r="B256" s="11"/>
      <c r="C256" s="11" t="str">
        <f aca="false">IF(A256="","",H256-SUMPRODUCT(('Checkout Log'!$A$3:$A$302=A256)*('Checkout Log'!$K$3:$K$302&lt;&gt;"Returned")*N('Checkout Log'!$B$3:$B$302)))</f>
        <v/>
      </c>
      <c r="D256" s="11"/>
      <c r="E256" s="9" t="str">
        <f aca="false">IF(D256="","",IFERROR(VLOOKUP(D256,Bins!$A:$B,2,0),"—"))</f>
        <v/>
      </c>
      <c r="F256" s="9"/>
      <c r="G256" s="11"/>
      <c r="H256" s="11"/>
    </row>
    <row r="257" customFormat="false" ht="15" hidden="false" customHeight="false" outlineLevel="0" collapsed="false">
      <c r="A257" s="13"/>
      <c r="B257" s="13"/>
      <c r="C257" s="13" t="str">
        <f aca="false">IF(A257="","",H257-SUMPRODUCT(('Checkout Log'!$A$3:$A$302=A257)*('Checkout Log'!$K$3:$K$302&lt;&gt;"Returned")*N('Checkout Log'!$B$3:$B$302)))</f>
        <v/>
      </c>
      <c r="D257" s="13"/>
      <c r="E257" s="8" t="str">
        <f aca="false">IF(D257="","",IFERROR(VLOOKUP(D257,Bins!$A:$B,2,0),"—"))</f>
        <v/>
      </c>
      <c r="F257" s="8"/>
      <c r="G257" s="13"/>
      <c r="H257" s="13"/>
    </row>
    <row r="258" customFormat="false" ht="15" hidden="false" customHeight="false" outlineLevel="0" collapsed="false">
      <c r="A258" s="11"/>
      <c r="B258" s="11"/>
      <c r="C258" s="11" t="str">
        <f aca="false">IF(A258="","",H258-SUMPRODUCT(('Checkout Log'!$A$3:$A$302=A258)*('Checkout Log'!$K$3:$K$302&lt;&gt;"Returned")*N('Checkout Log'!$B$3:$B$302)))</f>
        <v/>
      </c>
      <c r="D258" s="11"/>
      <c r="E258" s="9" t="str">
        <f aca="false">IF(D258="","",IFERROR(VLOOKUP(D258,Bins!$A:$B,2,0),"—"))</f>
        <v/>
      </c>
      <c r="F258" s="9"/>
      <c r="G258" s="11"/>
      <c r="H258" s="11"/>
    </row>
    <row r="259" customFormat="false" ht="15" hidden="false" customHeight="false" outlineLevel="0" collapsed="false">
      <c r="A259" s="13"/>
      <c r="B259" s="13"/>
      <c r="C259" s="13" t="str">
        <f aca="false">IF(A259="","",H259-SUMPRODUCT(('Checkout Log'!$A$3:$A$302=A259)*('Checkout Log'!$K$3:$K$302&lt;&gt;"Returned")*N('Checkout Log'!$B$3:$B$302)))</f>
        <v/>
      </c>
      <c r="D259" s="13"/>
      <c r="E259" s="8" t="str">
        <f aca="false">IF(D259="","",IFERROR(VLOOKUP(D259,Bins!$A:$B,2,0),"—"))</f>
        <v/>
      </c>
      <c r="F259" s="8"/>
      <c r="G259" s="13"/>
      <c r="H259" s="13"/>
    </row>
    <row r="260" customFormat="false" ht="15" hidden="false" customHeight="false" outlineLevel="0" collapsed="false">
      <c r="A260" s="11"/>
      <c r="B260" s="11"/>
      <c r="C260" s="11" t="str">
        <f aca="false">IF(A260="","",H260-SUMPRODUCT(('Checkout Log'!$A$3:$A$302=A260)*('Checkout Log'!$K$3:$K$302&lt;&gt;"Returned")*N('Checkout Log'!$B$3:$B$302)))</f>
        <v/>
      </c>
      <c r="D260" s="11"/>
      <c r="E260" s="9" t="str">
        <f aca="false">IF(D260="","",IFERROR(VLOOKUP(D260,Bins!$A:$B,2,0),"—"))</f>
        <v/>
      </c>
      <c r="F260" s="9"/>
      <c r="G260" s="11"/>
      <c r="H260" s="11"/>
    </row>
    <row r="261" customFormat="false" ht="15" hidden="false" customHeight="false" outlineLevel="0" collapsed="false">
      <c r="A261" s="13"/>
      <c r="B261" s="13"/>
      <c r="C261" s="13" t="str">
        <f aca="false">IF(A261="","",H261-SUMPRODUCT(('Checkout Log'!$A$3:$A$302=A261)*('Checkout Log'!$K$3:$K$302&lt;&gt;"Returned")*N('Checkout Log'!$B$3:$B$302)))</f>
        <v/>
      </c>
      <c r="D261" s="13"/>
      <c r="E261" s="8" t="str">
        <f aca="false">IF(D261="","",IFERROR(VLOOKUP(D261,Bins!$A:$B,2,0),"—"))</f>
        <v/>
      </c>
      <c r="F261" s="8"/>
      <c r="G261" s="13"/>
      <c r="H261" s="13"/>
    </row>
    <row r="262" customFormat="false" ht="15" hidden="false" customHeight="false" outlineLevel="0" collapsed="false">
      <c r="A262" s="11"/>
      <c r="B262" s="11"/>
      <c r="C262" s="11" t="str">
        <f aca="false">IF(A262="","",H262-SUMPRODUCT(('Checkout Log'!$A$3:$A$302=A262)*('Checkout Log'!$K$3:$K$302&lt;&gt;"Returned")*N('Checkout Log'!$B$3:$B$302)))</f>
        <v/>
      </c>
      <c r="D262" s="11"/>
      <c r="E262" s="9" t="str">
        <f aca="false">IF(D262="","",IFERROR(VLOOKUP(D262,Bins!$A:$B,2,0),"—"))</f>
        <v/>
      </c>
      <c r="F262" s="9"/>
      <c r="G262" s="11"/>
      <c r="H262" s="11"/>
    </row>
    <row r="263" customFormat="false" ht="15" hidden="false" customHeight="false" outlineLevel="0" collapsed="false">
      <c r="A263" s="13"/>
      <c r="B263" s="13"/>
      <c r="C263" s="13" t="str">
        <f aca="false">IF(A263="","",H263-SUMPRODUCT(('Checkout Log'!$A$3:$A$302=A263)*('Checkout Log'!$K$3:$K$302&lt;&gt;"Returned")*N('Checkout Log'!$B$3:$B$302)))</f>
        <v/>
      </c>
      <c r="D263" s="13"/>
      <c r="E263" s="8" t="str">
        <f aca="false">IF(D263="","",IFERROR(VLOOKUP(D263,Bins!$A:$B,2,0),"—"))</f>
        <v/>
      </c>
      <c r="F263" s="8"/>
      <c r="G263" s="13"/>
      <c r="H263" s="13"/>
    </row>
    <row r="264" customFormat="false" ht="15" hidden="false" customHeight="false" outlineLevel="0" collapsed="false">
      <c r="A264" s="11"/>
      <c r="B264" s="11"/>
      <c r="C264" s="11" t="str">
        <f aca="false">IF(A264="","",H264-SUMPRODUCT(('Checkout Log'!$A$3:$A$302=A264)*('Checkout Log'!$K$3:$K$302&lt;&gt;"Returned")*N('Checkout Log'!$B$3:$B$302)))</f>
        <v/>
      </c>
      <c r="D264" s="11"/>
      <c r="E264" s="9" t="str">
        <f aca="false">IF(D264="","",IFERROR(VLOOKUP(D264,Bins!$A:$B,2,0),"—"))</f>
        <v/>
      </c>
      <c r="F264" s="9"/>
      <c r="G264" s="11"/>
      <c r="H264" s="11"/>
    </row>
    <row r="265" customFormat="false" ht="15" hidden="false" customHeight="false" outlineLevel="0" collapsed="false">
      <c r="A265" s="13"/>
      <c r="B265" s="13"/>
      <c r="C265" s="13" t="str">
        <f aca="false">IF(A265="","",H265-SUMPRODUCT(('Checkout Log'!$A$3:$A$302=A265)*('Checkout Log'!$K$3:$K$302&lt;&gt;"Returned")*N('Checkout Log'!$B$3:$B$302)))</f>
        <v/>
      </c>
      <c r="D265" s="13"/>
      <c r="E265" s="8" t="str">
        <f aca="false">IF(D265="","",IFERROR(VLOOKUP(D265,Bins!$A:$B,2,0),"—"))</f>
        <v/>
      </c>
      <c r="F265" s="8"/>
      <c r="G265" s="13"/>
      <c r="H265" s="13"/>
    </row>
    <row r="266" customFormat="false" ht="15" hidden="false" customHeight="false" outlineLevel="0" collapsed="false">
      <c r="A266" s="11"/>
      <c r="B266" s="11"/>
      <c r="C266" s="11" t="str">
        <f aca="false">IF(A266="","",H266-SUMPRODUCT(('Checkout Log'!$A$3:$A$302=A266)*('Checkout Log'!$K$3:$K$302&lt;&gt;"Returned")*N('Checkout Log'!$B$3:$B$302)))</f>
        <v/>
      </c>
      <c r="D266" s="11"/>
      <c r="E266" s="9" t="str">
        <f aca="false">IF(D266="","",IFERROR(VLOOKUP(D266,Bins!$A:$B,2,0),"—"))</f>
        <v/>
      </c>
      <c r="F266" s="9"/>
      <c r="G266" s="11"/>
      <c r="H266" s="11"/>
    </row>
    <row r="267" customFormat="false" ht="15" hidden="false" customHeight="false" outlineLevel="0" collapsed="false">
      <c r="A267" s="13"/>
      <c r="B267" s="13"/>
      <c r="C267" s="13" t="str">
        <f aca="false">IF(A267="","",H267-SUMPRODUCT(('Checkout Log'!$A$3:$A$302=A267)*('Checkout Log'!$K$3:$K$302&lt;&gt;"Returned")*N('Checkout Log'!$B$3:$B$302)))</f>
        <v/>
      </c>
      <c r="D267" s="13"/>
      <c r="E267" s="8" t="str">
        <f aca="false">IF(D267="","",IFERROR(VLOOKUP(D267,Bins!$A:$B,2,0),"—"))</f>
        <v/>
      </c>
      <c r="F267" s="8"/>
      <c r="G267" s="13"/>
      <c r="H267" s="13"/>
    </row>
    <row r="268" customFormat="false" ht="15" hidden="false" customHeight="false" outlineLevel="0" collapsed="false">
      <c r="A268" s="11"/>
      <c r="B268" s="11"/>
      <c r="C268" s="11" t="str">
        <f aca="false">IF(A268="","",H268-SUMPRODUCT(('Checkout Log'!$A$3:$A$302=A268)*('Checkout Log'!$K$3:$K$302&lt;&gt;"Returned")*N('Checkout Log'!$B$3:$B$302)))</f>
        <v/>
      </c>
      <c r="D268" s="11"/>
      <c r="E268" s="9" t="str">
        <f aca="false">IF(D268="","",IFERROR(VLOOKUP(D268,Bins!$A:$B,2,0),"—"))</f>
        <v/>
      </c>
      <c r="F268" s="9"/>
      <c r="G268" s="11"/>
      <c r="H268" s="11"/>
    </row>
    <row r="269" customFormat="false" ht="15" hidden="false" customHeight="false" outlineLevel="0" collapsed="false">
      <c r="A269" s="13"/>
      <c r="B269" s="13"/>
      <c r="C269" s="13" t="str">
        <f aca="false">IF(A269="","",H269-SUMPRODUCT(('Checkout Log'!$A$3:$A$302=A269)*('Checkout Log'!$K$3:$K$302&lt;&gt;"Returned")*N('Checkout Log'!$B$3:$B$302)))</f>
        <v/>
      </c>
      <c r="D269" s="13"/>
      <c r="E269" s="8" t="str">
        <f aca="false">IF(D269="","",IFERROR(VLOOKUP(D269,Bins!$A:$B,2,0),"—"))</f>
        <v/>
      </c>
      <c r="F269" s="8"/>
      <c r="G269" s="13"/>
      <c r="H269" s="13"/>
    </row>
    <row r="270" customFormat="false" ht="15" hidden="false" customHeight="false" outlineLevel="0" collapsed="false">
      <c r="A270" s="11"/>
      <c r="B270" s="11"/>
      <c r="C270" s="11" t="str">
        <f aca="false">IF(A270="","",H270-SUMPRODUCT(('Checkout Log'!$A$3:$A$302=A270)*('Checkout Log'!$K$3:$K$302&lt;&gt;"Returned")*N('Checkout Log'!$B$3:$B$302)))</f>
        <v/>
      </c>
      <c r="D270" s="11"/>
      <c r="E270" s="9" t="str">
        <f aca="false">IF(D270="","",IFERROR(VLOOKUP(D270,Bins!$A:$B,2,0),"—"))</f>
        <v/>
      </c>
      <c r="F270" s="9"/>
      <c r="G270" s="11"/>
      <c r="H270" s="11"/>
    </row>
    <row r="271" customFormat="false" ht="15" hidden="false" customHeight="false" outlineLevel="0" collapsed="false">
      <c r="A271" s="13"/>
      <c r="B271" s="13"/>
      <c r="C271" s="13" t="str">
        <f aca="false">IF(A271="","",H271-SUMPRODUCT(('Checkout Log'!$A$3:$A$302=A271)*('Checkout Log'!$K$3:$K$302&lt;&gt;"Returned")*N('Checkout Log'!$B$3:$B$302)))</f>
        <v/>
      </c>
      <c r="D271" s="13"/>
      <c r="E271" s="8" t="str">
        <f aca="false">IF(D271="","",IFERROR(VLOOKUP(D271,Bins!$A:$B,2,0),"—"))</f>
        <v/>
      </c>
      <c r="F271" s="8"/>
      <c r="G271" s="13"/>
      <c r="H271" s="13"/>
    </row>
    <row r="272" customFormat="false" ht="15" hidden="false" customHeight="false" outlineLevel="0" collapsed="false">
      <c r="A272" s="11"/>
      <c r="B272" s="11"/>
      <c r="C272" s="11" t="str">
        <f aca="false">IF(A272="","",H272-SUMPRODUCT(('Checkout Log'!$A$3:$A$302=A272)*('Checkout Log'!$K$3:$K$302&lt;&gt;"Returned")*N('Checkout Log'!$B$3:$B$302)))</f>
        <v/>
      </c>
      <c r="D272" s="11"/>
      <c r="E272" s="9" t="str">
        <f aca="false">IF(D272="","",IFERROR(VLOOKUP(D272,Bins!$A:$B,2,0),"—"))</f>
        <v/>
      </c>
      <c r="F272" s="9"/>
      <c r="G272" s="11"/>
      <c r="H272" s="11"/>
    </row>
    <row r="273" customFormat="false" ht="15" hidden="false" customHeight="false" outlineLevel="0" collapsed="false">
      <c r="A273" s="13"/>
      <c r="B273" s="13"/>
      <c r="C273" s="13" t="str">
        <f aca="false">IF(A273="","",H273-SUMPRODUCT(('Checkout Log'!$A$3:$A$302=A273)*('Checkout Log'!$K$3:$K$302&lt;&gt;"Returned")*N('Checkout Log'!$B$3:$B$302)))</f>
        <v/>
      </c>
      <c r="D273" s="13"/>
      <c r="E273" s="8" t="str">
        <f aca="false">IF(D273="","",IFERROR(VLOOKUP(D273,Bins!$A:$B,2,0),"—"))</f>
        <v/>
      </c>
      <c r="F273" s="8"/>
      <c r="G273" s="13"/>
      <c r="H273" s="13"/>
    </row>
    <row r="274" customFormat="false" ht="15" hidden="false" customHeight="false" outlineLevel="0" collapsed="false">
      <c r="A274" s="11"/>
      <c r="B274" s="11"/>
      <c r="C274" s="11" t="str">
        <f aca="false">IF(A274="","",H274-SUMPRODUCT(('Checkout Log'!$A$3:$A$302=A274)*('Checkout Log'!$K$3:$K$302&lt;&gt;"Returned")*N('Checkout Log'!$B$3:$B$302)))</f>
        <v/>
      </c>
      <c r="D274" s="11"/>
      <c r="E274" s="9" t="str">
        <f aca="false">IF(D274="","",IFERROR(VLOOKUP(D274,Bins!$A:$B,2,0),"—"))</f>
        <v/>
      </c>
      <c r="F274" s="9"/>
      <c r="G274" s="11"/>
      <c r="H274" s="11"/>
    </row>
    <row r="275" customFormat="false" ht="15" hidden="false" customHeight="false" outlineLevel="0" collapsed="false">
      <c r="A275" s="13"/>
      <c r="B275" s="13"/>
      <c r="C275" s="13" t="str">
        <f aca="false">IF(A275="","",H275-SUMPRODUCT(('Checkout Log'!$A$3:$A$302=A275)*('Checkout Log'!$K$3:$K$302&lt;&gt;"Returned")*N('Checkout Log'!$B$3:$B$302)))</f>
        <v/>
      </c>
      <c r="D275" s="13"/>
      <c r="E275" s="8" t="str">
        <f aca="false">IF(D275="","",IFERROR(VLOOKUP(D275,Bins!$A:$B,2,0),"—"))</f>
        <v/>
      </c>
      <c r="F275" s="8"/>
      <c r="G275" s="13"/>
      <c r="H275" s="13"/>
    </row>
    <row r="276" customFormat="false" ht="15" hidden="false" customHeight="false" outlineLevel="0" collapsed="false">
      <c r="A276" s="11"/>
      <c r="B276" s="11"/>
      <c r="C276" s="11" t="str">
        <f aca="false">IF(A276="","",H276-SUMPRODUCT(('Checkout Log'!$A$3:$A$302=A276)*('Checkout Log'!$K$3:$K$302&lt;&gt;"Returned")*N('Checkout Log'!$B$3:$B$302)))</f>
        <v/>
      </c>
      <c r="D276" s="11"/>
      <c r="E276" s="9" t="str">
        <f aca="false">IF(D276="","",IFERROR(VLOOKUP(D276,Bins!$A:$B,2,0),"—"))</f>
        <v/>
      </c>
      <c r="F276" s="9"/>
      <c r="G276" s="11"/>
      <c r="H276" s="11"/>
    </row>
    <row r="277" customFormat="false" ht="15" hidden="false" customHeight="false" outlineLevel="0" collapsed="false">
      <c r="A277" s="13"/>
      <c r="B277" s="13"/>
      <c r="C277" s="13" t="str">
        <f aca="false">IF(A277="","",H277-SUMPRODUCT(('Checkout Log'!$A$3:$A$302=A277)*('Checkout Log'!$K$3:$K$302&lt;&gt;"Returned")*N('Checkout Log'!$B$3:$B$302)))</f>
        <v/>
      </c>
      <c r="D277" s="13"/>
      <c r="E277" s="8" t="str">
        <f aca="false">IF(D277="","",IFERROR(VLOOKUP(D277,Bins!$A:$B,2,0),"—"))</f>
        <v/>
      </c>
      <c r="F277" s="8"/>
      <c r="G277" s="13"/>
      <c r="H277" s="13"/>
    </row>
    <row r="278" customFormat="false" ht="15" hidden="false" customHeight="false" outlineLevel="0" collapsed="false">
      <c r="A278" s="11"/>
      <c r="B278" s="11"/>
      <c r="C278" s="11" t="str">
        <f aca="false">IF(A278="","",H278-SUMPRODUCT(('Checkout Log'!$A$3:$A$302=A278)*('Checkout Log'!$K$3:$K$302&lt;&gt;"Returned")*N('Checkout Log'!$B$3:$B$302)))</f>
        <v/>
      </c>
      <c r="D278" s="11"/>
      <c r="E278" s="9" t="str">
        <f aca="false">IF(D278="","",IFERROR(VLOOKUP(D278,Bins!$A:$B,2,0),"—"))</f>
        <v/>
      </c>
      <c r="F278" s="9"/>
      <c r="G278" s="11"/>
      <c r="H278" s="11"/>
    </row>
    <row r="279" customFormat="false" ht="15" hidden="false" customHeight="false" outlineLevel="0" collapsed="false">
      <c r="A279" s="13"/>
      <c r="B279" s="13"/>
      <c r="C279" s="13" t="str">
        <f aca="false">IF(A279="","",H279-SUMPRODUCT(('Checkout Log'!$A$3:$A$302=A279)*('Checkout Log'!$K$3:$K$302&lt;&gt;"Returned")*N('Checkout Log'!$B$3:$B$302)))</f>
        <v/>
      </c>
      <c r="D279" s="13"/>
      <c r="E279" s="8" t="str">
        <f aca="false">IF(D279="","",IFERROR(VLOOKUP(D279,Bins!$A:$B,2,0),"—"))</f>
        <v/>
      </c>
      <c r="F279" s="8"/>
      <c r="G279" s="13"/>
      <c r="H279" s="13"/>
    </row>
    <row r="280" customFormat="false" ht="15" hidden="false" customHeight="false" outlineLevel="0" collapsed="false">
      <c r="A280" s="11"/>
      <c r="B280" s="11"/>
      <c r="C280" s="11" t="str">
        <f aca="false">IF(A280="","",H280-SUMPRODUCT(('Checkout Log'!$A$3:$A$302=A280)*('Checkout Log'!$K$3:$K$302&lt;&gt;"Returned")*N('Checkout Log'!$B$3:$B$302)))</f>
        <v/>
      </c>
      <c r="D280" s="11"/>
      <c r="E280" s="9" t="str">
        <f aca="false">IF(D280="","",IFERROR(VLOOKUP(D280,Bins!$A:$B,2,0),"—"))</f>
        <v/>
      </c>
      <c r="F280" s="9"/>
      <c r="G280" s="11"/>
      <c r="H280" s="11"/>
    </row>
    <row r="281" customFormat="false" ht="15" hidden="false" customHeight="false" outlineLevel="0" collapsed="false">
      <c r="A281" s="13"/>
      <c r="B281" s="13"/>
      <c r="C281" s="13" t="str">
        <f aca="false">IF(A281="","",H281-SUMPRODUCT(('Checkout Log'!$A$3:$A$302=A281)*('Checkout Log'!$K$3:$K$302&lt;&gt;"Returned")*N('Checkout Log'!$B$3:$B$302)))</f>
        <v/>
      </c>
      <c r="D281" s="13"/>
      <c r="E281" s="8" t="str">
        <f aca="false">IF(D281="","",IFERROR(VLOOKUP(D281,Bins!$A:$B,2,0),"—"))</f>
        <v/>
      </c>
      <c r="F281" s="8"/>
      <c r="G281" s="13"/>
      <c r="H281" s="13"/>
    </row>
    <row r="282" customFormat="false" ht="15" hidden="false" customHeight="false" outlineLevel="0" collapsed="false">
      <c r="A282" s="11"/>
      <c r="B282" s="11"/>
      <c r="C282" s="11" t="str">
        <f aca="false">IF(A282="","",H282-SUMPRODUCT(('Checkout Log'!$A$3:$A$302=A282)*('Checkout Log'!$K$3:$K$302&lt;&gt;"Returned")*N('Checkout Log'!$B$3:$B$302)))</f>
        <v/>
      </c>
      <c r="D282" s="11"/>
      <c r="E282" s="9" t="str">
        <f aca="false">IF(D282="","",IFERROR(VLOOKUP(D282,Bins!$A:$B,2,0),"—"))</f>
        <v/>
      </c>
      <c r="F282" s="9"/>
      <c r="G282" s="11"/>
      <c r="H282" s="11"/>
    </row>
    <row r="283" customFormat="false" ht="15" hidden="false" customHeight="false" outlineLevel="0" collapsed="false">
      <c r="A283" s="13"/>
      <c r="B283" s="13"/>
      <c r="C283" s="13" t="str">
        <f aca="false">IF(A283="","",H283-SUMPRODUCT(('Checkout Log'!$A$3:$A$302=A283)*('Checkout Log'!$K$3:$K$302&lt;&gt;"Returned")*N('Checkout Log'!$B$3:$B$302)))</f>
        <v/>
      </c>
      <c r="D283" s="13"/>
      <c r="E283" s="8" t="str">
        <f aca="false">IF(D283="","",IFERROR(VLOOKUP(D283,Bins!$A:$B,2,0),"—"))</f>
        <v/>
      </c>
      <c r="F283" s="8"/>
      <c r="G283" s="13"/>
      <c r="H283" s="13"/>
    </row>
    <row r="284" customFormat="false" ht="15" hidden="false" customHeight="false" outlineLevel="0" collapsed="false">
      <c r="A284" s="11"/>
      <c r="B284" s="11"/>
      <c r="C284" s="11" t="str">
        <f aca="false">IF(A284="","",H284-SUMPRODUCT(('Checkout Log'!$A$3:$A$302=A284)*('Checkout Log'!$K$3:$K$302&lt;&gt;"Returned")*N('Checkout Log'!$B$3:$B$302)))</f>
        <v/>
      </c>
      <c r="D284" s="11"/>
      <c r="E284" s="9" t="str">
        <f aca="false">IF(D284="","",IFERROR(VLOOKUP(D284,Bins!$A:$B,2,0),"—"))</f>
        <v/>
      </c>
      <c r="F284" s="9"/>
      <c r="G284" s="11"/>
      <c r="H284" s="11"/>
    </row>
    <row r="285" customFormat="false" ht="15" hidden="false" customHeight="false" outlineLevel="0" collapsed="false">
      <c r="A285" s="13"/>
      <c r="B285" s="13"/>
      <c r="C285" s="13" t="str">
        <f aca="false">IF(A285="","",H285-SUMPRODUCT(('Checkout Log'!$A$3:$A$302=A285)*('Checkout Log'!$K$3:$K$302&lt;&gt;"Returned")*N('Checkout Log'!$B$3:$B$302)))</f>
        <v/>
      </c>
      <c r="D285" s="13"/>
      <c r="E285" s="8" t="str">
        <f aca="false">IF(D285="","",IFERROR(VLOOKUP(D285,Bins!$A:$B,2,0),"—"))</f>
        <v/>
      </c>
      <c r="F285" s="8"/>
      <c r="G285" s="13"/>
      <c r="H285" s="13"/>
    </row>
    <row r="286" customFormat="false" ht="15" hidden="false" customHeight="false" outlineLevel="0" collapsed="false">
      <c r="A286" s="11"/>
      <c r="B286" s="11"/>
      <c r="C286" s="11" t="str">
        <f aca="false">IF(A286="","",H286-SUMPRODUCT(('Checkout Log'!$A$3:$A$302=A286)*('Checkout Log'!$K$3:$K$302&lt;&gt;"Returned")*N('Checkout Log'!$B$3:$B$302)))</f>
        <v/>
      </c>
      <c r="D286" s="11"/>
      <c r="E286" s="9" t="str">
        <f aca="false">IF(D286="","",IFERROR(VLOOKUP(D286,Bins!$A:$B,2,0),"—"))</f>
        <v/>
      </c>
      <c r="F286" s="9"/>
      <c r="G286" s="11"/>
      <c r="H286" s="11"/>
    </row>
    <row r="287" customFormat="false" ht="15" hidden="false" customHeight="false" outlineLevel="0" collapsed="false">
      <c r="A287" s="13"/>
      <c r="B287" s="13"/>
      <c r="C287" s="13" t="str">
        <f aca="false">IF(A287="","",H287-SUMPRODUCT(('Checkout Log'!$A$3:$A$302=A287)*('Checkout Log'!$K$3:$K$302&lt;&gt;"Returned")*N('Checkout Log'!$B$3:$B$302)))</f>
        <v/>
      </c>
      <c r="D287" s="13"/>
      <c r="E287" s="8" t="str">
        <f aca="false">IF(D287="","",IFERROR(VLOOKUP(D287,Bins!$A:$B,2,0),"—"))</f>
        <v/>
      </c>
      <c r="F287" s="8"/>
      <c r="G287" s="13"/>
      <c r="H287" s="13"/>
    </row>
    <row r="288" customFormat="false" ht="15" hidden="false" customHeight="false" outlineLevel="0" collapsed="false">
      <c r="A288" s="11"/>
      <c r="B288" s="11"/>
      <c r="C288" s="11" t="str">
        <f aca="false">IF(A288="","",H288-SUMPRODUCT(('Checkout Log'!$A$3:$A$302=A288)*('Checkout Log'!$K$3:$K$302&lt;&gt;"Returned")*N('Checkout Log'!$B$3:$B$302)))</f>
        <v/>
      </c>
      <c r="D288" s="11"/>
      <c r="E288" s="9" t="str">
        <f aca="false">IF(D288="","",IFERROR(VLOOKUP(D288,Bins!$A:$B,2,0),"—"))</f>
        <v/>
      </c>
      <c r="F288" s="9"/>
      <c r="G288" s="11"/>
      <c r="H288" s="11"/>
    </row>
    <row r="289" customFormat="false" ht="15" hidden="false" customHeight="false" outlineLevel="0" collapsed="false">
      <c r="A289" s="13"/>
      <c r="B289" s="13"/>
      <c r="C289" s="13" t="str">
        <f aca="false">IF(A289="","",H289-SUMPRODUCT(('Checkout Log'!$A$3:$A$302=A289)*('Checkout Log'!$K$3:$K$302&lt;&gt;"Returned")*N('Checkout Log'!$B$3:$B$302)))</f>
        <v/>
      </c>
      <c r="D289" s="13"/>
      <c r="E289" s="8" t="str">
        <f aca="false">IF(D289="","",IFERROR(VLOOKUP(D289,Bins!$A:$B,2,0),"—"))</f>
        <v/>
      </c>
      <c r="F289" s="8"/>
      <c r="G289" s="13"/>
      <c r="H289" s="13"/>
    </row>
    <row r="290" customFormat="false" ht="15" hidden="false" customHeight="false" outlineLevel="0" collapsed="false">
      <c r="A290" s="11"/>
      <c r="B290" s="11"/>
      <c r="C290" s="11" t="str">
        <f aca="false">IF(A290="","",H290-SUMPRODUCT(('Checkout Log'!$A$3:$A$302=A290)*('Checkout Log'!$K$3:$K$302&lt;&gt;"Returned")*N('Checkout Log'!$B$3:$B$302)))</f>
        <v/>
      </c>
      <c r="D290" s="11"/>
      <c r="E290" s="9" t="str">
        <f aca="false">IF(D290="","",IFERROR(VLOOKUP(D290,Bins!$A:$B,2,0),"—"))</f>
        <v/>
      </c>
      <c r="F290" s="9"/>
      <c r="G290" s="11"/>
      <c r="H290" s="11"/>
    </row>
    <row r="291" customFormat="false" ht="15" hidden="false" customHeight="false" outlineLevel="0" collapsed="false">
      <c r="A291" s="13"/>
      <c r="B291" s="13"/>
      <c r="C291" s="13" t="str">
        <f aca="false">IF(A291="","",H291-SUMPRODUCT(('Checkout Log'!$A$3:$A$302=A291)*('Checkout Log'!$K$3:$K$302&lt;&gt;"Returned")*N('Checkout Log'!$B$3:$B$302)))</f>
        <v/>
      </c>
      <c r="D291" s="13"/>
      <c r="E291" s="8" t="str">
        <f aca="false">IF(D291="","",IFERROR(VLOOKUP(D291,Bins!$A:$B,2,0),"—"))</f>
        <v/>
      </c>
      <c r="F291" s="8"/>
      <c r="G291" s="13"/>
      <c r="H291" s="13"/>
    </row>
    <row r="292" customFormat="false" ht="15" hidden="false" customHeight="false" outlineLevel="0" collapsed="false">
      <c r="A292" s="11"/>
      <c r="B292" s="11"/>
      <c r="C292" s="11" t="str">
        <f aca="false">IF(A292="","",H292-SUMPRODUCT(('Checkout Log'!$A$3:$A$302=A292)*('Checkout Log'!$K$3:$K$302&lt;&gt;"Returned")*N('Checkout Log'!$B$3:$B$302)))</f>
        <v/>
      </c>
      <c r="D292" s="11"/>
      <c r="E292" s="9" t="str">
        <f aca="false">IF(D292="","",IFERROR(VLOOKUP(D292,Bins!$A:$B,2,0),"—"))</f>
        <v/>
      </c>
      <c r="F292" s="9"/>
      <c r="G292" s="11"/>
      <c r="H292" s="11"/>
    </row>
    <row r="293" customFormat="false" ht="15" hidden="false" customHeight="false" outlineLevel="0" collapsed="false">
      <c r="A293" s="13"/>
      <c r="B293" s="13"/>
      <c r="C293" s="13" t="str">
        <f aca="false">IF(A293="","",H293-SUMPRODUCT(('Checkout Log'!$A$3:$A$302=A293)*('Checkout Log'!$K$3:$K$302&lt;&gt;"Returned")*N('Checkout Log'!$B$3:$B$302)))</f>
        <v/>
      </c>
      <c r="D293" s="13"/>
      <c r="E293" s="8" t="str">
        <f aca="false">IF(D293="","",IFERROR(VLOOKUP(D293,Bins!$A:$B,2,0),"—"))</f>
        <v/>
      </c>
      <c r="F293" s="8"/>
      <c r="G293" s="13"/>
      <c r="H293" s="13"/>
    </row>
    <row r="294" customFormat="false" ht="15" hidden="false" customHeight="false" outlineLevel="0" collapsed="false">
      <c r="A294" s="11"/>
      <c r="B294" s="11"/>
      <c r="C294" s="11" t="str">
        <f aca="false">IF(A294="","",H294-SUMPRODUCT(('Checkout Log'!$A$3:$A$302=A294)*('Checkout Log'!$K$3:$K$302&lt;&gt;"Returned")*N('Checkout Log'!$B$3:$B$302)))</f>
        <v/>
      </c>
      <c r="D294" s="11"/>
      <c r="E294" s="9" t="str">
        <f aca="false">IF(D294="","",IFERROR(VLOOKUP(D294,Bins!$A:$B,2,0),"—"))</f>
        <v/>
      </c>
      <c r="F294" s="9"/>
      <c r="G294" s="11"/>
      <c r="H294" s="11"/>
    </row>
    <row r="295" customFormat="false" ht="15" hidden="false" customHeight="false" outlineLevel="0" collapsed="false">
      <c r="A295" s="13"/>
      <c r="B295" s="13"/>
      <c r="C295" s="13" t="str">
        <f aca="false">IF(A295="","",H295-SUMPRODUCT(('Checkout Log'!$A$3:$A$302=A295)*('Checkout Log'!$K$3:$K$302&lt;&gt;"Returned")*N('Checkout Log'!$B$3:$B$302)))</f>
        <v/>
      </c>
      <c r="D295" s="13"/>
      <c r="E295" s="8" t="str">
        <f aca="false">IF(D295="","",IFERROR(VLOOKUP(D295,Bins!$A:$B,2,0),"—"))</f>
        <v/>
      </c>
      <c r="F295" s="8"/>
      <c r="G295" s="13"/>
      <c r="H295" s="13"/>
    </row>
    <row r="296" customFormat="false" ht="15" hidden="false" customHeight="false" outlineLevel="0" collapsed="false">
      <c r="A296" s="11"/>
      <c r="B296" s="11"/>
      <c r="C296" s="11" t="str">
        <f aca="false">IF(A296="","",H296-SUMPRODUCT(('Checkout Log'!$A$3:$A$302=A296)*('Checkout Log'!$K$3:$K$302&lt;&gt;"Returned")*N('Checkout Log'!$B$3:$B$302)))</f>
        <v/>
      </c>
      <c r="D296" s="11"/>
      <c r="E296" s="9" t="str">
        <f aca="false">IF(D296="","",IFERROR(VLOOKUP(D296,Bins!$A:$B,2,0),"—"))</f>
        <v/>
      </c>
      <c r="F296" s="9"/>
      <c r="G296" s="11"/>
      <c r="H296" s="11"/>
    </row>
    <row r="297" customFormat="false" ht="15" hidden="false" customHeight="false" outlineLevel="0" collapsed="false">
      <c r="A297" s="13"/>
      <c r="B297" s="13"/>
      <c r="C297" s="13" t="str">
        <f aca="false">IF(A297="","",H297-SUMPRODUCT(('Checkout Log'!$A$3:$A$302=A297)*('Checkout Log'!$K$3:$K$302&lt;&gt;"Returned")*N('Checkout Log'!$B$3:$B$302)))</f>
        <v/>
      </c>
      <c r="D297" s="13"/>
      <c r="E297" s="8" t="str">
        <f aca="false">IF(D297="","",IFERROR(VLOOKUP(D297,Bins!$A:$B,2,0),"—"))</f>
        <v/>
      </c>
      <c r="F297" s="8"/>
      <c r="G297" s="13"/>
      <c r="H297" s="13"/>
    </row>
    <row r="298" customFormat="false" ht="15" hidden="false" customHeight="false" outlineLevel="0" collapsed="false">
      <c r="A298" s="11"/>
      <c r="B298" s="11"/>
      <c r="C298" s="11" t="str">
        <f aca="false">IF(A298="","",H298-SUMPRODUCT(('Checkout Log'!$A$3:$A$302=A298)*('Checkout Log'!$K$3:$K$302&lt;&gt;"Returned")*N('Checkout Log'!$B$3:$B$302)))</f>
        <v/>
      </c>
      <c r="D298" s="11"/>
      <c r="E298" s="9" t="str">
        <f aca="false">IF(D298="","",IFERROR(VLOOKUP(D298,Bins!$A:$B,2,0),"—"))</f>
        <v/>
      </c>
      <c r="F298" s="9"/>
      <c r="G298" s="11"/>
      <c r="H298" s="11"/>
    </row>
    <row r="299" customFormat="false" ht="15" hidden="false" customHeight="false" outlineLevel="0" collapsed="false">
      <c r="A299" s="13"/>
      <c r="B299" s="13"/>
      <c r="C299" s="13" t="str">
        <f aca="false">IF(A299="","",H299-SUMPRODUCT(('Checkout Log'!$A$3:$A$302=A299)*('Checkout Log'!$K$3:$K$302&lt;&gt;"Returned")*N('Checkout Log'!$B$3:$B$302)))</f>
        <v/>
      </c>
      <c r="D299" s="13"/>
      <c r="E299" s="8" t="str">
        <f aca="false">IF(D299="","",IFERROR(VLOOKUP(D299,Bins!$A:$B,2,0),"—"))</f>
        <v/>
      </c>
      <c r="F299" s="8"/>
      <c r="G299" s="13"/>
      <c r="H299" s="13"/>
    </row>
    <row r="300" customFormat="false" ht="15" hidden="false" customHeight="false" outlineLevel="0" collapsed="false">
      <c r="A300" s="11"/>
      <c r="B300" s="11"/>
      <c r="C300" s="11" t="str">
        <f aca="false">IF(A300="","",H300-SUMPRODUCT(('Checkout Log'!$A$3:$A$302=A300)*('Checkout Log'!$K$3:$K$302&lt;&gt;"Returned")*N('Checkout Log'!$B$3:$B$302)))</f>
        <v/>
      </c>
      <c r="D300" s="11"/>
      <c r="E300" s="9" t="str">
        <f aca="false">IF(D300="","",IFERROR(VLOOKUP(D300,Bins!$A:$B,2,0),"—"))</f>
        <v/>
      </c>
      <c r="F300" s="9"/>
      <c r="G300" s="11"/>
      <c r="H300" s="11"/>
    </row>
    <row r="301" customFormat="false" ht="15" hidden="false" customHeight="false" outlineLevel="0" collapsed="false">
      <c r="A301" s="13"/>
      <c r="B301" s="13"/>
      <c r="C301" s="13" t="str">
        <f aca="false">IF(A301="","",H301-SUMPRODUCT(('Checkout Log'!$A$3:$A$302=A301)*('Checkout Log'!$K$3:$K$302&lt;&gt;"Returned")*N('Checkout Log'!$B$3:$B$302)))</f>
        <v/>
      </c>
      <c r="D301" s="13"/>
      <c r="E301" s="8" t="str">
        <f aca="false">IF(D301="","",IFERROR(VLOOKUP(D301,Bins!$A:$B,2,0),"—"))</f>
        <v/>
      </c>
      <c r="F301" s="8"/>
      <c r="G301" s="13"/>
      <c r="H301" s="13"/>
    </row>
    <row r="302" customFormat="false" ht="15" hidden="false" customHeight="false" outlineLevel="0" collapsed="false">
      <c r="A302" s="11"/>
      <c r="B302" s="11"/>
      <c r="C302" s="11" t="str">
        <f aca="false">IF(A302="","",H302-SUMPRODUCT(('Checkout Log'!$A$3:$A$302=A302)*('Checkout Log'!$K$3:$K$302&lt;&gt;"Returned")*N('Checkout Log'!$B$3:$B$302)))</f>
        <v/>
      </c>
      <c r="D302" s="11"/>
      <c r="E302" s="9" t="str">
        <f aca="false">IF(D302="","",IFERROR(VLOOKUP(D302,Bins!$A:$B,2,0),"—"))</f>
        <v/>
      </c>
      <c r="F302" s="9"/>
      <c r="G302" s="11"/>
      <c r="H302" s="11"/>
    </row>
  </sheetData>
  <mergeCells count="1">
    <mergeCell ref="A1:G1"/>
  </mergeCells>
  <dataValidations count="2">
    <dataValidation allowBlank="true" error="Pick a bin from the list." errorStyle="stop" errorTitle="Invalid Bin" operator="between" showDropDown="false" showErrorMessage="true" showInputMessage="false" sqref="D3:D302" type="list">
      <formula1>BinList</formula1>
      <formula2>0</formula2>
    </dataValidation>
    <dataValidation allowBlank="true" errorStyle="stop" operator="between" showDropDown="false" showErrorMessage="false" showInputMessage="false" sqref="F3:F302" type="list">
      <formula1>"Good,Fair,Poor,Unknown"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L8" activeCellId="0" sqref="L8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37.84"/>
    <col collapsed="false" customWidth="true" hidden="false" outlineLevel="0" max="2" min="2" style="17" width="24.21"/>
    <col collapsed="false" customWidth="true" hidden="false" outlineLevel="0" max="3" min="3" style="1" width="31.89"/>
    <col collapsed="false" customWidth="true" hidden="false" outlineLevel="0" max="4" min="4" style="1" width="20.18"/>
    <col collapsed="false" customWidth="true" hidden="false" outlineLevel="0" max="5" min="5" style="1" width="22.2"/>
    <col collapsed="false" customWidth="true" hidden="false" outlineLevel="0" max="6" min="6" style="1" width="18.16"/>
    <col collapsed="false" customWidth="true" hidden="false" outlineLevel="0" max="7" min="7" style="1" width="20.18"/>
    <col collapsed="false" customWidth="true" hidden="false" outlineLevel="0" max="8" min="8" style="1" width="14.13"/>
    <col collapsed="false" customWidth="true" hidden="false" outlineLevel="0" max="9" min="9" style="1" width="16.15"/>
    <col collapsed="false" customWidth="true" hidden="false" outlineLevel="0" max="10" min="10" style="1" width="14.13"/>
    <col collapsed="false" customWidth="true" hidden="false" outlineLevel="0" max="11" min="11" style="1" width="15.41"/>
    <col collapsed="false" customWidth="true" hidden="false" outlineLevel="0" max="12" min="12" style="1" width="14.13"/>
  </cols>
  <sheetData>
    <row r="1" customFormat="false" ht="30" hidden="false" customHeight="true" outlineLevel="0" collapsed="false">
      <c r="A1" s="15" t="s">
        <v>497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5" hidden="false" customHeight="false" outlineLevel="0" collapsed="false">
      <c r="A2" s="7" t="s">
        <v>16</v>
      </c>
      <c r="B2" s="7" t="s">
        <v>498</v>
      </c>
      <c r="C2" s="7" t="s">
        <v>17</v>
      </c>
      <c r="D2" s="7" t="s">
        <v>9</v>
      </c>
      <c r="E2" s="7" t="s">
        <v>499</v>
      </c>
      <c r="F2" s="7" t="s">
        <v>500</v>
      </c>
      <c r="G2" s="7" t="s">
        <v>501</v>
      </c>
      <c r="H2" s="7" t="s">
        <v>19</v>
      </c>
      <c r="I2" s="7" t="s">
        <v>20</v>
      </c>
      <c r="J2" s="7" t="s">
        <v>502</v>
      </c>
      <c r="K2" s="7" t="s">
        <v>503</v>
      </c>
      <c r="L2" s="7" t="s">
        <v>504</v>
      </c>
    </row>
    <row r="3" customFormat="false" ht="15" hidden="false" customHeight="false" outlineLevel="0" collapsed="false">
      <c r="A3" s="19" t="s">
        <v>324</v>
      </c>
      <c r="B3" s="20">
        <v>2</v>
      </c>
      <c r="C3" s="1" t="str">
        <f aca="false">IF(A3="","",IFERROR(VLOOKUP(A3,Inventory!$A:$D,4,0),"—"))</f>
        <v>STM 32 Microcontrollers</v>
      </c>
      <c r="D3" s="1" t="str">
        <f aca="false">IF(A3="","",IFERROR(VLOOKUP(A3,Inventory!$A:$E,5,0),"—"))</f>
        <v>C2</v>
      </c>
      <c r="E3" s="13" t="s">
        <v>505</v>
      </c>
      <c r="F3" s="13"/>
      <c r="G3" s="13"/>
      <c r="H3" s="14"/>
      <c r="I3" s="14"/>
      <c r="J3" s="14"/>
      <c r="K3" s="13"/>
      <c r="L3" s="13" t="s">
        <v>5</v>
      </c>
    </row>
    <row r="4" customFormat="false" ht="15" hidden="false" customHeight="false" outlineLevel="0" collapsed="false">
      <c r="A4" s="11" t="s">
        <v>336</v>
      </c>
      <c r="B4" s="9">
        <v>3</v>
      </c>
      <c r="C4" s="11" t="str">
        <f aca="false">IF(A4="","",IFERROR(VLOOKUP(A4,Inventory!$A:$D,4,0),"—"))</f>
        <v>STM 32 Microcontrollers</v>
      </c>
      <c r="D4" s="11" t="str">
        <f aca="false">IF(A4="","",IFERROR(VLOOKUP(A4,Inventory!$A:$E,5,0),"—"))</f>
        <v>C2</v>
      </c>
      <c r="E4" s="11" t="s">
        <v>506</v>
      </c>
      <c r="F4" s="11"/>
      <c r="G4" s="11"/>
      <c r="H4" s="12"/>
      <c r="I4" s="12"/>
      <c r="J4" s="12"/>
      <c r="K4" s="11"/>
      <c r="L4" s="11" t="s">
        <v>5</v>
      </c>
    </row>
    <row r="5" customFormat="false" ht="15" hidden="false" customHeight="false" outlineLevel="0" collapsed="false">
      <c r="A5" s="13" t="s">
        <v>275</v>
      </c>
      <c r="B5" s="8">
        <v>1</v>
      </c>
      <c r="C5" s="13" t="str">
        <f aca="false">IF(A5="","",IFERROR(VLOOKUP(A5,Inventory!$A:$D,4,0),"—"))</f>
        <v>BitCraze CrazyFlie drone kit</v>
      </c>
      <c r="D5" s="13" t="str">
        <f aca="false">IF(A5="","",IFERROR(VLOOKUP(A5,Inventory!$A:$E,5,0),"—"))</f>
        <v>SL2</v>
      </c>
      <c r="E5" s="13" t="s">
        <v>507</v>
      </c>
      <c r="F5" s="13"/>
      <c r="G5" s="13"/>
      <c r="H5" s="14"/>
      <c r="I5" s="14"/>
      <c r="J5" s="14"/>
      <c r="K5" s="13"/>
      <c r="L5" s="13" t="s">
        <v>5</v>
      </c>
    </row>
    <row r="6" customFormat="false" ht="15" hidden="false" customHeight="false" outlineLevel="0" collapsed="false">
      <c r="A6" s="11" t="s">
        <v>371</v>
      </c>
      <c r="B6" s="9">
        <v>2</v>
      </c>
      <c r="C6" s="11" t="str">
        <f aca="false">IF(A6="","",IFERROR(VLOOKUP(A6,Inventory!$A:$D,4,0),"—"))</f>
        <v>Servo Motors</v>
      </c>
      <c r="D6" s="11" t="str">
        <f aca="false">IF(A6="","",IFERROR(VLOOKUP(A6,Inventory!$A:$E,5,0),"—"))</f>
        <v>C3</v>
      </c>
      <c r="E6" s="11" t="s">
        <v>508</v>
      </c>
      <c r="F6" s="11"/>
      <c r="G6" s="11"/>
      <c r="H6" s="12"/>
      <c r="I6" s="12"/>
      <c r="J6" s="12"/>
      <c r="K6" s="11"/>
      <c r="L6" s="11" t="s">
        <v>5</v>
      </c>
    </row>
    <row r="7" customFormat="false" ht="15" hidden="false" customHeight="false" outlineLevel="0" collapsed="false">
      <c r="A7" s="13"/>
      <c r="B7" s="8"/>
      <c r="C7" s="13" t="str">
        <f aca="false">IF(A7="","",IFERROR(VLOOKUP(A7,Inventory!$A:$D,4,0),"—"))</f>
        <v/>
      </c>
      <c r="D7" s="13" t="str">
        <f aca="false">IF(A7="","",IFERROR(VLOOKUP(A7,Inventory!$A:$E,5,0),"—"))</f>
        <v/>
      </c>
      <c r="E7" s="13"/>
      <c r="F7" s="13"/>
      <c r="G7" s="13"/>
      <c r="H7" s="14"/>
      <c r="I7" s="14"/>
      <c r="J7" s="14"/>
      <c r="K7" s="13"/>
      <c r="L7" s="13"/>
    </row>
    <row r="8" customFormat="false" ht="15" hidden="false" customHeight="false" outlineLevel="0" collapsed="false">
      <c r="A8" s="11"/>
      <c r="B8" s="9"/>
      <c r="C8" s="11" t="str">
        <f aca="false">IF(A8="","",IFERROR(VLOOKUP(A8,Inventory!$A:$D,4,0),"—"))</f>
        <v/>
      </c>
      <c r="D8" s="11" t="str">
        <f aca="false">IF(A8="","",IFERROR(VLOOKUP(A8,Inventory!$A:$E,5,0),"—"))</f>
        <v/>
      </c>
      <c r="E8" s="11"/>
      <c r="F8" s="11"/>
      <c r="G8" s="11"/>
      <c r="H8" s="12"/>
      <c r="I8" s="12"/>
      <c r="J8" s="12"/>
      <c r="K8" s="11"/>
      <c r="L8" s="11"/>
    </row>
    <row r="9" customFormat="false" ht="15" hidden="false" customHeight="false" outlineLevel="0" collapsed="false">
      <c r="A9" s="13"/>
      <c r="B9" s="8"/>
      <c r="C9" s="13" t="str">
        <f aca="false">IF(A9="","",IFERROR(VLOOKUP(A9,Inventory!$A:$D,4,0),"—"))</f>
        <v/>
      </c>
      <c r="D9" s="13" t="str">
        <f aca="false">IF(A9="","",IFERROR(VLOOKUP(A9,Inventory!$A:$E,5,0),"—"))</f>
        <v/>
      </c>
      <c r="E9" s="13"/>
      <c r="F9" s="13"/>
      <c r="G9" s="13"/>
      <c r="H9" s="14"/>
      <c r="I9" s="14"/>
      <c r="J9" s="14"/>
      <c r="K9" s="13"/>
      <c r="L9" s="13"/>
    </row>
    <row r="10" customFormat="false" ht="15" hidden="false" customHeight="false" outlineLevel="0" collapsed="false">
      <c r="A10" s="11"/>
      <c r="B10" s="9"/>
      <c r="C10" s="11" t="str">
        <f aca="false">IF(A10="","",IFERROR(VLOOKUP(A10,Inventory!$A:$D,4,0),"—"))</f>
        <v/>
      </c>
      <c r="D10" s="11" t="str">
        <f aca="false">IF(A10="","",IFERROR(VLOOKUP(A10,Inventory!$A:$E,5,0),"—"))</f>
        <v/>
      </c>
      <c r="E10" s="11"/>
      <c r="F10" s="11"/>
      <c r="G10" s="11"/>
      <c r="H10" s="12"/>
      <c r="I10" s="12"/>
      <c r="J10" s="12"/>
      <c r="K10" s="11"/>
      <c r="L10" s="11"/>
    </row>
    <row r="11" customFormat="false" ht="15" hidden="false" customHeight="false" outlineLevel="0" collapsed="false">
      <c r="A11" s="13"/>
      <c r="B11" s="8"/>
      <c r="C11" s="13" t="str">
        <f aca="false">IF(A11="","",IFERROR(VLOOKUP(A11,Inventory!$A:$D,4,0),"—"))</f>
        <v/>
      </c>
      <c r="D11" s="13" t="str">
        <f aca="false">IF(A11="","",IFERROR(VLOOKUP(A11,Inventory!$A:$E,5,0),"—"))</f>
        <v/>
      </c>
      <c r="E11" s="13"/>
      <c r="F11" s="13"/>
      <c r="G11" s="13"/>
      <c r="H11" s="14"/>
      <c r="I11" s="14"/>
      <c r="J11" s="14"/>
      <c r="K11" s="13"/>
      <c r="L11" s="13"/>
    </row>
    <row r="12" customFormat="false" ht="15" hidden="false" customHeight="false" outlineLevel="0" collapsed="false">
      <c r="A12" s="11"/>
      <c r="B12" s="9"/>
      <c r="C12" s="11" t="str">
        <f aca="false">IF(A12="","",IFERROR(VLOOKUP(A12,Inventory!$A:$D,4,0),"—"))</f>
        <v/>
      </c>
      <c r="D12" s="11" t="str">
        <f aca="false">IF(A12="","",IFERROR(VLOOKUP(A12,Inventory!$A:$E,5,0),"—"))</f>
        <v/>
      </c>
      <c r="E12" s="11"/>
      <c r="F12" s="11"/>
      <c r="G12" s="11"/>
      <c r="H12" s="12"/>
      <c r="I12" s="12"/>
      <c r="J12" s="12"/>
      <c r="K12" s="11"/>
      <c r="L12" s="11"/>
    </row>
    <row r="13" customFormat="false" ht="15" hidden="false" customHeight="false" outlineLevel="0" collapsed="false">
      <c r="A13" s="13"/>
      <c r="B13" s="8"/>
      <c r="C13" s="13" t="str">
        <f aca="false">IF(A13="","",IFERROR(VLOOKUP(A13,Inventory!$A:$D,4,0),"—"))</f>
        <v/>
      </c>
      <c r="D13" s="13" t="str">
        <f aca="false">IF(A13="","",IFERROR(VLOOKUP(A13,Inventory!$A:$E,5,0),"—"))</f>
        <v/>
      </c>
      <c r="E13" s="13"/>
      <c r="F13" s="13"/>
      <c r="G13" s="13"/>
      <c r="H13" s="14"/>
      <c r="I13" s="14"/>
      <c r="J13" s="14"/>
      <c r="K13" s="13"/>
      <c r="L13" s="13"/>
    </row>
    <row r="14" customFormat="false" ht="15" hidden="false" customHeight="false" outlineLevel="0" collapsed="false">
      <c r="A14" s="11"/>
      <c r="B14" s="9"/>
      <c r="C14" s="11" t="str">
        <f aca="false">IF(A14="","",IFERROR(VLOOKUP(A14,Inventory!$A:$D,4,0),"—"))</f>
        <v/>
      </c>
      <c r="D14" s="11" t="str">
        <f aca="false">IF(A14="","",IFERROR(VLOOKUP(A14,Inventory!$A:$E,5,0),"—"))</f>
        <v/>
      </c>
      <c r="E14" s="11"/>
      <c r="F14" s="11"/>
      <c r="G14" s="11"/>
      <c r="H14" s="12"/>
      <c r="I14" s="12"/>
      <c r="J14" s="12"/>
      <c r="K14" s="11"/>
      <c r="L14" s="11"/>
    </row>
    <row r="15" customFormat="false" ht="15" hidden="false" customHeight="false" outlineLevel="0" collapsed="false">
      <c r="A15" s="13"/>
      <c r="B15" s="8"/>
      <c r="C15" s="13" t="str">
        <f aca="false">IF(A15="","",IFERROR(VLOOKUP(A15,Inventory!$A:$D,4,0),"—"))</f>
        <v/>
      </c>
      <c r="D15" s="13" t="str">
        <f aca="false">IF(A15="","",IFERROR(VLOOKUP(A15,Inventory!$A:$E,5,0),"—"))</f>
        <v/>
      </c>
      <c r="E15" s="13"/>
      <c r="F15" s="13"/>
      <c r="G15" s="13"/>
      <c r="H15" s="14"/>
      <c r="I15" s="14"/>
      <c r="J15" s="14"/>
      <c r="K15" s="13"/>
      <c r="L15" s="13"/>
    </row>
    <row r="16" customFormat="false" ht="15" hidden="false" customHeight="false" outlineLevel="0" collapsed="false">
      <c r="A16" s="11"/>
      <c r="B16" s="9"/>
      <c r="C16" s="11" t="str">
        <f aca="false">IF(A16="","",IFERROR(VLOOKUP(A16,Inventory!$A:$D,4,0),"—"))</f>
        <v/>
      </c>
      <c r="D16" s="11" t="str">
        <f aca="false">IF(A16="","",IFERROR(VLOOKUP(A16,Inventory!$A:$E,5,0),"—"))</f>
        <v/>
      </c>
      <c r="E16" s="11"/>
      <c r="F16" s="11"/>
      <c r="G16" s="11"/>
      <c r="H16" s="12"/>
      <c r="I16" s="12"/>
      <c r="J16" s="12"/>
      <c r="K16" s="11"/>
      <c r="L16" s="11"/>
    </row>
    <row r="17" customFormat="false" ht="15" hidden="false" customHeight="false" outlineLevel="0" collapsed="false">
      <c r="A17" s="13"/>
      <c r="B17" s="8"/>
      <c r="C17" s="13" t="str">
        <f aca="false">IF(A17="","",IFERROR(VLOOKUP(A17,Inventory!$A:$D,4,0),"—"))</f>
        <v/>
      </c>
      <c r="D17" s="13" t="str">
        <f aca="false">IF(A17="","",IFERROR(VLOOKUP(A17,Inventory!$A:$E,5,0),"—"))</f>
        <v/>
      </c>
      <c r="E17" s="13"/>
      <c r="F17" s="13"/>
      <c r="G17" s="13"/>
      <c r="H17" s="14"/>
      <c r="I17" s="14"/>
      <c r="J17" s="14"/>
      <c r="K17" s="13"/>
      <c r="L17" s="13"/>
    </row>
    <row r="18" customFormat="false" ht="15" hidden="false" customHeight="false" outlineLevel="0" collapsed="false">
      <c r="A18" s="11"/>
      <c r="B18" s="9"/>
      <c r="C18" s="11" t="str">
        <f aca="false">IF(A18="","",IFERROR(VLOOKUP(A18,Inventory!$A:$D,4,0),"—"))</f>
        <v/>
      </c>
      <c r="D18" s="11" t="str">
        <f aca="false">IF(A18="","",IFERROR(VLOOKUP(A18,Inventory!$A:$E,5,0),"—"))</f>
        <v/>
      </c>
      <c r="E18" s="11"/>
      <c r="F18" s="11"/>
      <c r="G18" s="11"/>
      <c r="H18" s="12"/>
      <c r="I18" s="12"/>
      <c r="J18" s="12"/>
      <c r="K18" s="11"/>
      <c r="L18" s="11"/>
    </row>
    <row r="19" customFormat="false" ht="15" hidden="false" customHeight="false" outlineLevel="0" collapsed="false">
      <c r="A19" s="13"/>
      <c r="B19" s="8"/>
      <c r="C19" s="13" t="str">
        <f aca="false">IF(A19="","",IFERROR(VLOOKUP(A19,Inventory!$A:$D,4,0),"—"))</f>
        <v/>
      </c>
      <c r="D19" s="13" t="str">
        <f aca="false">IF(A19="","",IFERROR(VLOOKUP(A19,Inventory!$A:$E,5,0),"—"))</f>
        <v/>
      </c>
      <c r="E19" s="13"/>
      <c r="F19" s="13"/>
      <c r="G19" s="13"/>
      <c r="H19" s="14"/>
      <c r="I19" s="14"/>
      <c r="J19" s="14"/>
      <c r="K19" s="13"/>
      <c r="L19" s="13"/>
    </row>
    <row r="20" customFormat="false" ht="15" hidden="false" customHeight="false" outlineLevel="0" collapsed="false">
      <c r="A20" s="11"/>
      <c r="B20" s="9"/>
      <c r="C20" s="11" t="str">
        <f aca="false">IF(A20="","",IFERROR(VLOOKUP(A20,Inventory!$A:$D,4,0),"—"))</f>
        <v/>
      </c>
      <c r="D20" s="11" t="str">
        <f aca="false">IF(A20="","",IFERROR(VLOOKUP(A20,Inventory!$A:$E,5,0),"—"))</f>
        <v/>
      </c>
      <c r="E20" s="11"/>
      <c r="F20" s="11"/>
      <c r="G20" s="11"/>
      <c r="H20" s="12"/>
      <c r="I20" s="12"/>
      <c r="J20" s="12"/>
      <c r="K20" s="11"/>
      <c r="L20" s="11"/>
    </row>
    <row r="21" customFormat="false" ht="15" hidden="false" customHeight="false" outlineLevel="0" collapsed="false">
      <c r="A21" s="13"/>
      <c r="B21" s="8"/>
      <c r="C21" s="13" t="str">
        <f aca="false">IF(A21="","",IFERROR(VLOOKUP(A21,Inventory!$A:$D,4,0),"—"))</f>
        <v/>
      </c>
      <c r="D21" s="13" t="str">
        <f aca="false">IF(A21="","",IFERROR(VLOOKUP(A21,Inventory!$A:$E,5,0),"—"))</f>
        <v/>
      </c>
      <c r="E21" s="13"/>
      <c r="F21" s="13"/>
      <c r="G21" s="13"/>
      <c r="H21" s="14"/>
      <c r="I21" s="14"/>
      <c r="J21" s="14"/>
      <c r="K21" s="13"/>
      <c r="L21" s="13"/>
    </row>
    <row r="22" customFormat="false" ht="15" hidden="false" customHeight="false" outlineLevel="0" collapsed="false">
      <c r="A22" s="11"/>
      <c r="B22" s="9"/>
      <c r="C22" s="11" t="str">
        <f aca="false">IF(A22="","",IFERROR(VLOOKUP(A22,Inventory!$A:$D,4,0),"—"))</f>
        <v/>
      </c>
      <c r="D22" s="11" t="str">
        <f aca="false">IF(A22="","",IFERROR(VLOOKUP(A22,Inventory!$A:$E,5,0),"—"))</f>
        <v/>
      </c>
      <c r="E22" s="11"/>
      <c r="F22" s="11"/>
      <c r="G22" s="11"/>
      <c r="H22" s="12"/>
      <c r="I22" s="12"/>
      <c r="J22" s="12"/>
      <c r="K22" s="11"/>
      <c r="L22" s="11"/>
    </row>
    <row r="23" customFormat="false" ht="15" hidden="false" customHeight="false" outlineLevel="0" collapsed="false">
      <c r="A23" s="13"/>
      <c r="B23" s="8"/>
      <c r="C23" s="13" t="str">
        <f aca="false">IF(A23="","",IFERROR(VLOOKUP(A23,Inventory!$A:$D,4,0),"—"))</f>
        <v/>
      </c>
      <c r="D23" s="13" t="str">
        <f aca="false">IF(A23="","",IFERROR(VLOOKUP(A23,Inventory!$A:$E,5,0),"—"))</f>
        <v/>
      </c>
      <c r="E23" s="13"/>
      <c r="F23" s="13"/>
      <c r="G23" s="13"/>
      <c r="H23" s="14"/>
      <c r="I23" s="14"/>
      <c r="J23" s="14"/>
      <c r="K23" s="13"/>
      <c r="L23" s="13"/>
    </row>
    <row r="24" customFormat="false" ht="15" hidden="false" customHeight="false" outlineLevel="0" collapsed="false">
      <c r="A24" s="11"/>
      <c r="B24" s="9"/>
      <c r="C24" s="11" t="str">
        <f aca="false">IF(A24="","",IFERROR(VLOOKUP(A24,Inventory!$A:$D,4,0),"—"))</f>
        <v/>
      </c>
      <c r="D24" s="11" t="str">
        <f aca="false">IF(A24="","",IFERROR(VLOOKUP(A24,Inventory!$A:$E,5,0),"—"))</f>
        <v/>
      </c>
      <c r="E24" s="11"/>
      <c r="F24" s="11"/>
      <c r="G24" s="11"/>
      <c r="H24" s="12"/>
      <c r="I24" s="12"/>
      <c r="J24" s="12"/>
      <c r="K24" s="11"/>
      <c r="L24" s="11"/>
    </row>
    <row r="25" customFormat="false" ht="15" hidden="false" customHeight="false" outlineLevel="0" collapsed="false">
      <c r="A25" s="13"/>
      <c r="B25" s="8"/>
      <c r="C25" s="13" t="str">
        <f aca="false">IF(A25="","",IFERROR(VLOOKUP(A25,Inventory!$A:$D,4,0),"—"))</f>
        <v/>
      </c>
      <c r="D25" s="13" t="str">
        <f aca="false">IF(A25="","",IFERROR(VLOOKUP(A25,Inventory!$A:$E,5,0),"—"))</f>
        <v/>
      </c>
      <c r="E25" s="13"/>
      <c r="F25" s="13"/>
      <c r="G25" s="13"/>
      <c r="H25" s="14"/>
      <c r="I25" s="14"/>
      <c r="J25" s="14"/>
      <c r="K25" s="13"/>
      <c r="L25" s="13"/>
    </row>
    <row r="26" customFormat="false" ht="15" hidden="false" customHeight="false" outlineLevel="0" collapsed="false">
      <c r="A26" s="11"/>
      <c r="B26" s="9"/>
      <c r="C26" s="11" t="str">
        <f aca="false">IF(A26="","",IFERROR(VLOOKUP(A26,Inventory!$A:$D,4,0),"—"))</f>
        <v/>
      </c>
      <c r="D26" s="11" t="str">
        <f aca="false">IF(A26="","",IFERROR(VLOOKUP(A26,Inventory!$A:$E,5,0),"—"))</f>
        <v/>
      </c>
      <c r="E26" s="11"/>
      <c r="F26" s="11"/>
      <c r="G26" s="11"/>
      <c r="H26" s="12"/>
      <c r="I26" s="12"/>
      <c r="J26" s="12"/>
      <c r="K26" s="11"/>
      <c r="L26" s="11"/>
    </row>
    <row r="27" customFormat="false" ht="15" hidden="false" customHeight="false" outlineLevel="0" collapsed="false">
      <c r="A27" s="13"/>
      <c r="B27" s="8"/>
      <c r="C27" s="13" t="str">
        <f aca="false">IF(A27="","",IFERROR(VLOOKUP(A27,Inventory!$A:$D,4,0),"—"))</f>
        <v/>
      </c>
      <c r="D27" s="13" t="str">
        <f aca="false">IF(A27="","",IFERROR(VLOOKUP(A27,Inventory!$A:$E,5,0),"—"))</f>
        <v/>
      </c>
      <c r="E27" s="13"/>
      <c r="F27" s="13"/>
      <c r="G27" s="13"/>
      <c r="H27" s="14"/>
      <c r="I27" s="14"/>
      <c r="J27" s="14"/>
      <c r="K27" s="13"/>
      <c r="L27" s="13"/>
    </row>
    <row r="28" customFormat="false" ht="15" hidden="false" customHeight="false" outlineLevel="0" collapsed="false">
      <c r="A28" s="11"/>
      <c r="B28" s="9"/>
      <c r="C28" s="11" t="str">
        <f aca="false">IF(A28="","",IFERROR(VLOOKUP(A28,Inventory!$A:$D,4,0),"—"))</f>
        <v/>
      </c>
      <c r="D28" s="11" t="str">
        <f aca="false">IF(A28="","",IFERROR(VLOOKUP(A28,Inventory!$A:$E,5,0),"—"))</f>
        <v/>
      </c>
      <c r="E28" s="11"/>
      <c r="F28" s="11"/>
      <c r="G28" s="11"/>
      <c r="H28" s="12"/>
      <c r="I28" s="12"/>
      <c r="J28" s="12"/>
      <c r="K28" s="11"/>
      <c r="L28" s="11"/>
    </row>
    <row r="29" customFormat="false" ht="15" hidden="false" customHeight="false" outlineLevel="0" collapsed="false">
      <c r="A29" s="13"/>
      <c r="B29" s="8"/>
      <c r="C29" s="13" t="str">
        <f aca="false">IF(A29="","",IFERROR(VLOOKUP(A29,Inventory!$A:$D,4,0),"—"))</f>
        <v/>
      </c>
      <c r="D29" s="13" t="str">
        <f aca="false">IF(A29="","",IFERROR(VLOOKUP(A29,Inventory!$A:$E,5,0),"—"))</f>
        <v/>
      </c>
      <c r="E29" s="13"/>
      <c r="F29" s="13"/>
      <c r="G29" s="13"/>
      <c r="H29" s="14"/>
      <c r="I29" s="14"/>
      <c r="J29" s="14"/>
      <c r="K29" s="13"/>
      <c r="L29" s="13"/>
    </row>
    <row r="30" customFormat="false" ht="15" hidden="false" customHeight="false" outlineLevel="0" collapsed="false">
      <c r="A30" s="11"/>
      <c r="B30" s="9"/>
      <c r="C30" s="11" t="str">
        <f aca="false">IF(A30="","",IFERROR(VLOOKUP(A30,Inventory!$A:$D,4,0),"—"))</f>
        <v/>
      </c>
      <c r="D30" s="11" t="str">
        <f aca="false">IF(A30="","",IFERROR(VLOOKUP(A30,Inventory!$A:$E,5,0),"—"))</f>
        <v/>
      </c>
      <c r="E30" s="11"/>
      <c r="F30" s="11"/>
      <c r="G30" s="11"/>
      <c r="H30" s="12"/>
      <c r="I30" s="12"/>
      <c r="J30" s="12"/>
      <c r="K30" s="11"/>
      <c r="L30" s="11"/>
    </row>
    <row r="31" customFormat="false" ht="15" hidden="false" customHeight="false" outlineLevel="0" collapsed="false">
      <c r="A31" s="13"/>
      <c r="B31" s="8"/>
      <c r="C31" s="13" t="str">
        <f aca="false">IF(A31="","",IFERROR(VLOOKUP(A31,Inventory!$A:$D,4,0),"—"))</f>
        <v/>
      </c>
      <c r="D31" s="13" t="str">
        <f aca="false">IF(A31="","",IFERROR(VLOOKUP(A31,Inventory!$A:$E,5,0),"—"))</f>
        <v/>
      </c>
      <c r="E31" s="13"/>
      <c r="F31" s="13"/>
      <c r="G31" s="13"/>
      <c r="H31" s="14"/>
      <c r="I31" s="14"/>
      <c r="J31" s="14"/>
      <c r="K31" s="13"/>
      <c r="L31" s="13"/>
    </row>
    <row r="32" customFormat="false" ht="15" hidden="false" customHeight="false" outlineLevel="0" collapsed="false">
      <c r="A32" s="11"/>
      <c r="B32" s="9"/>
      <c r="C32" s="11" t="str">
        <f aca="false">IF(A32="","",IFERROR(VLOOKUP(A32,Inventory!$A:$D,4,0),"—"))</f>
        <v/>
      </c>
      <c r="D32" s="11"/>
      <c r="E32" s="11"/>
      <c r="F32" s="11"/>
      <c r="G32" s="11"/>
      <c r="H32" s="12"/>
      <c r="I32" s="12"/>
      <c r="J32" s="12"/>
      <c r="K32" s="11"/>
      <c r="L32" s="11"/>
    </row>
    <row r="33" customFormat="false" ht="15" hidden="false" customHeight="false" outlineLevel="0" collapsed="false">
      <c r="A33" s="13"/>
      <c r="B33" s="8"/>
      <c r="C33" s="13" t="str">
        <f aca="false">IF(A33="","",IFERROR(VLOOKUP(A33,Inventory!$A:$D,4,0),"—"))</f>
        <v/>
      </c>
      <c r="D33" s="13" t="str">
        <f aca="false">IF(A33="","",IFERROR(VLOOKUP(A33,Inventory!$A:$E,5,0),"—"))</f>
        <v/>
      </c>
      <c r="E33" s="13"/>
      <c r="F33" s="13"/>
      <c r="G33" s="13"/>
      <c r="H33" s="14"/>
      <c r="I33" s="14"/>
      <c r="J33" s="14"/>
      <c r="K33" s="13"/>
      <c r="L33" s="13"/>
    </row>
    <row r="34" customFormat="false" ht="15" hidden="false" customHeight="false" outlineLevel="0" collapsed="false">
      <c r="A34" s="11"/>
      <c r="B34" s="9"/>
      <c r="C34" s="11" t="str">
        <f aca="false">IF(A34="","",IFERROR(VLOOKUP(A34,Inventory!$A:$D,4,0),"—"))</f>
        <v/>
      </c>
      <c r="D34" s="11" t="str">
        <f aca="false">IF(A34="","",IFERROR(VLOOKUP(A34,Inventory!$A:$E,5,0),"—"))</f>
        <v/>
      </c>
      <c r="E34" s="11"/>
      <c r="F34" s="11"/>
      <c r="G34" s="11"/>
      <c r="H34" s="12"/>
      <c r="I34" s="12"/>
      <c r="J34" s="12"/>
      <c r="K34" s="11"/>
      <c r="L34" s="11"/>
    </row>
    <row r="35" customFormat="false" ht="15" hidden="false" customHeight="false" outlineLevel="0" collapsed="false">
      <c r="A35" s="13"/>
      <c r="B35" s="8"/>
      <c r="C35" s="13" t="str">
        <f aca="false">IF(A35="","",IFERROR(VLOOKUP(A35,Inventory!$A:$D,4,0),"—"))</f>
        <v/>
      </c>
      <c r="D35" s="13" t="str">
        <f aca="false">IF(A35="","",IFERROR(VLOOKUP(A35,Inventory!$A:$E,5,0),"—"))</f>
        <v/>
      </c>
      <c r="E35" s="13"/>
      <c r="F35" s="13"/>
      <c r="G35" s="13"/>
      <c r="H35" s="14"/>
      <c r="I35" s="14"/>
      <c r="J35" s="14"/>
      <c r="K35" s="13"/>
      <c r="L35" s="13"/>
    </row>
    <row r="36" customFormat="false" ht="15" hidden="false" customHeight="false" outlineLevel="0" collapsed="false">
      <c r="A36" s="11"/>
      <c r="B36" s="9"/>
      <c r="C36" s="11" t="str">
        <f aca="false">IF(A36="","",IFERROR(VLOOKUP(A36,Inventory!$A:$D,4,0),"—"))</f>
        <v/>
      </c>
      <c r="D36" s="11" t="str">
        <f aca="false">IF(A36="","",IFERROR(VLOOKUP(A36,Inventory!$A:$E,5,0),"—"))</f>
        <v/>
      </c>
      <c r="E36" s="11"/>
      <c r="F36" s="11"/>
      <c r="G36" s="11"/>
      <c r="H36" s="12"/>
      <c r="I36" s="12"/>
      <c r="J36" s="12"/>
      <c r="K36" s="11"/>
      <c r="L36" s="11"/>
    </row>
    <row r="37" customFormat="false" ht="15" hidden="false" customHeight="false" outlineLevel="0" collapsed="false">
      <c r="A37" s="13"/>
      <c r="B37" s="8"/>
      <c r="C37" s="13" t="str">
        <f aca="false">IF(A37="","",IFERROR(VLOOKUP(A37,Inventory!$A:$D,4,0),"—"))</f>
        <v/>
      </c>
      <c r="D37" s="13" t="str">
        <f aca="false">IF(A37="","",IFERROR(VLOOKUP(A37,Inventory!$A:$E,5,0),"—"))</f>
        <v/>
      </c>
      <c r="E37" s="13"/>
      <c r="F37" s="13"/>
      <c r="G37" s="13"/>
      <c r="H37" s="14"/>
      <c r="I37" s="14"/>
      <c r="J37" s="14"/>
      <c r="K37" s="13"/>
      <c r="L37" s="13"/>
    </row>
    <row r="38" customFormat="false" ht="15" hidden="false" customHeight="false" outlineLevel="0" collapsed="false">
      <c r="A38" s="11"/>
      <c r="B38" s="9"/>
      <c r="C38" s="11" t="str">
        <f aca="false">IF(A38="","",IFERROR(VLOOKUP(A38,Inventory!$A:$D,4,0),"—"))</f>
        <v/>
      </c>
      <c r="D38" s="11" t="str">
        <f aca="false">IF(A38="","",IFERROR(VLOOKUP(A38,Inventory!$A:$E,5,0),"—"))</f>
        <v/>
      </c>
      <c r="E38" s="11"/>
      <c r="F38" s="11"/>
      <c r="G38" s="11"/>
      <c r="H38" s="12"/>
      <c r="I38" s="12"/>
      <c r="J38" s="12"/>
      <c r="K38" s="11"/>
      <c r="L38" s="11"/>
    </row>
    <row r="39" customFormat="false" ht="15" hidden="false" customHeight="false" outlineLevel="0" collapsed="false">
      <c r="A39" s="13"/>
      <c r="B39" s="8"/>
      <c r="C39" s="13" t="str">
        <f aca="false">IF(A39="","",IFERROR(VLOOKUP(A39,Inventory!$A:$D,4,0),"—"))</f>
        <v/>
      </c>
      <c r="D39" s="13" t="str">
        <f aca="false">IF(A39="","",IFERROR(VLOOKUP(A39,Inventory!$A:$E,5,0),"—"))</f>
        <v/>
      </c>
      <c r="E39" s="13"/>
      <c r="F39" s="13"/>
      <c r="G39" s="13"/>
      <c r="H39" s="14"/>
      <c r="I39" s="14"/>
      <c r="J39" s="14"/>
      <c r="K39" s="13"/>
      <c r="L39" s="13"/>
    </row>
    <row r="40" customFormat="false" ht="15" hidden="false" customHeight="false" outlineLevel="0" collapsed="false">
      <c r="A40" s="11"/>
      <c r="B40" s="9"/>
      <c r="C40" s="11" t="str">
        <f aca="false">IF(A40="","",IFERROR(VLOOKUP(A40,Inventory!$A:$D,4,0),"—"))</f>
        <v/>
      </c>
      <c r="D40" s="11" t="str">
        <f aca="false">IF(A40="","",IFERROR(VLOOKUP(A40,Inventory!$A:$E,5,0),"—"))</f>
        <v/>
      </c>
      <c r="E40" s="11"/>
      <c r="F40" s="11"/>
      <c r="G40" s="11"/>
      <c r="H40" s="12"/>
      <c r="I40" s="12"/>
      <c r="J40" s="12"/>
      <c r="K40" s="11"/>
      <c r="L40" s="11"/>
    </row>
    <row r="41" customFormat="false" ht="15" hidden="false" customHeight="false" outlineLevel="0" collapsed="false">
      <c r="A41" s="13"/>
      <c r="B41" s="8"/>
      <c r="C41" s="13" t="str">
        <f aca="false">IF(A41="","",IFERROR(VLOOKUP(A41,Inventory!$A:$D,4,0),"—"))</f>
        <v/>
      </c>
      <c r="D41" s="13" t="str">
        <f aca="false">IF(A41="","",IFERROR(VLOOKUP(A41,Inventory!$A:$E,5,0),"—"))</f>
        <v/>
      </c>
      <c r="E41" s="13"/>
      <c r="F41" s="13"/>
      <c r="G41" s="13"/>
      <c r="H41" s="14"/>
      <c r="I41" s="14"/>
      <c r="J41" s="14"/>
      <c r="K41" s="13"/>
      <c r="L41" s="13"/>
    </row>
    <row r="42" customFormat="false" ht="15" hidden="false" customHeight="false" outlineLevel="0" collapsed="false">
      <c r="A42" s="11"/>
      <c r="B42" s="9"/>
      <c r="C42" s="11" t="str">
        <f aca="false">IF(A42="","",IFERROR(VLOOKUP(A42,Inventory!$A:$D,4,0),"—"))</f>
        <v/>
      </c>
      <c r="D42" s="11" t="str">
        <f aca="false">IF(A42="","",IFERROR(VLOOKUP(A42,Inventory!$A:$E,5,0),"—"))</f>
        <v/>
      </c>
      <c r="E42" s="11"/>
      <c r="F42" s="11"/>
      <c r="G42" s="11"/>
      <c r="H42" s="12"/>
      <c r="I42" s="12"/>
      <c r="J42" s="12"/>
      <c r="K42" s="11"/>
      <c r="L42" s="11"/>
    </row>
    <row r="43" customFormat="false" ht="15" hidden="false" customHeight="false" outlineLevel="0" collapsed="false">
      <c r="A43" s="13"/>
      <c r="B43" s="8"/>
      <c r="C43" s="13" t="str">
        <f aca="false">IF(A43="","",IFERROR(VLOOKUP(A43,Inventory!$A:$D,4,0),"—"))</f>
        <v/>
      </c>
      <c r="D43" s="13" t="str">
        <f aca="false">IF(A43="","",IFERROR(VLOOKUP(A43,Inventory!$A:$E,5,0),"—"))</f>
        <v/>
      </c>
      <c r="E43" s="13"/>
      <c r="F43" s="13"/>
      <c r="G43" s="13"/>
      <c r="H43" s="14"/>
      <c r="I43" s="14"/>
      <c r="J43" s="14"/>
      <c r="K43" s="13"/>
      <c r="L43" s="13"/>
    </row>
    <row r="44" customFormat="false" ht="15" hidden="false" customHeight="false" outlineLevel="0" collapsed="false">
      <c r="A44" s="11"/>
      <c r="B44" s="9"/>
      <c r="C44" s="11" t="str">
        <f aca="false">IF(A44="","",IFERROR(VLOOKUP(A44,Inventory!$A:$D,4,0),"—"))</f>
        <v/>
      </c>
      <c r="D44" s="11" t="str">
        <f aca="false">IF(A44="","",IFERROR(VLOOKUP(A44,Inventory!$A:$E,5,0),"—"))</f>
        <v/>
      </c>
      <c r="E44" s="11"/>
      <c r="F44" s="11"/>
      <c r="G44" s="11"/>
      <c r="H44" s="12"/>
      <c r="I44" s="12"/>
      <c r="J44" s="12"/>
      <c r="K44" s="11"/>
      <c r="L44" s="11"/>
    </row>
    <row r="45" customFormat="false" ht="15" hidden="false" customHeight="false" outlineLevel="0" collapsed="false">
      <c r="A45" s="13"/>
      <c r="B45" s="8"/>
      <c r="C45" s="13" t="str">
        <f aca="false">IF(A45="","",IFERROR(VLOOKUP(A45,Inventory!$A:$D,4,0),"—"))</f>
        <v/>
      </c>
      <c r="D45" s="13" t="str">
        <f aca="false">IF(A45="","",IFERROR(VLOOKUP(A45,Inventory!$A:$E,5,0),"—"))</f>
        <v/>
      </c>
      <c r="E45" s="13"/>
      <c r="F45" s="13"/>
      <c r="G45" s="13"/>
      <c r="H45" s="14"/>
      <c r="I45" s="14"/>
      <c r="J45" s="14"/>
      <c r="K45" s="13"/>
      <c r="L45" s="13"/>
    </row>
    <row r="46" customFormat="false" ht="15" hidden="false" customHeight="false" outlineLevel="0" collapsed="false">
      <c r="A46" s="11"/>
      <c r="B46" s="9"/>
      <c r="C46" s="11" t="str">
        <f aca="false">IF(A46="","",IFERROR(VLOOKUP(A46,Inventory!$A:$D,4,0),"—"))</f>
        <v/>
      </c>
      <c r="D46" s="11" t="str">
        <f aca="false">IF(A46="","",IFERROR(VLOOKUP(A46,Inventory!$A:$E,5,0),"—"))</f>
        <v/>
      </c>
      <c r="E46" s="11"/>
      <c r="F46" s="11"/>
      <c r="G46" s="11"/>
      <c r="H46" s="12"/>
      <c r="I46" s="12"/>
      <c r="J46" s="12"/>
      <c r="K46" s="11"/>
      <c r="L46" s="11"/>
    </row>
    <row r="47" customFormat="false" ht="15" hidden="false" customHeight="false" outlineLevel="0" collapsed="false">
      <c r="A47" s="13"/>
      <c r="B47" s="8"/>
      <c r="C47" s="13" t="str">
        <f aca="false">IF(A47="","",IFERROR(VLOOKUP(A47,Inventory!$A:$D,4,0),"—"))</f>
        <v/>
      </c>
      <c r="D47" s="13" t="str">
        <f aca="false">IF(A47="","",IFERROR(VLOOKUP(A47,Inventory!$A:$E,5,0),"—"))</f>
        <v/>
      </c>
      <c r="E47" s="13"/>
      <c r="F47" s="13"/>
      <c r="G47" s="13"/>
      <c r="H47" s="14"/>
      <c r="I47" s="14"/>
      <c r="J47" s="14"/>
      <c r="K47" s="13"/>
      <c r="L47" s="13"/>
    </row>
    <row r="48" customFormat="false" ht="15" hidden="false" customHeight="false" outlineLevel="0" collapsed="false">
      <c r="A48" s="11"/>
      <c r="B48" s="9"/>
      <c r="C48" s="11" t="str">
        <f aca="false">IF(A48="","",IFERROR(VLOOKUP(A48,Inventory!$A:$D,4,0),"—"))</f>
        <v/>
      </c>
      <c r="D48" s="11" t="str">
        <f aca="false">IF(A48="","",IFERROR(VLOOKUP(A48,Inventory!$A:$E,5,0),"—"))</f>
        <v/>
      </c>
      <c r="E48" s="11"/>
      <c r="F48" s="11"/>
      <c r="G48" s="11"/>
      <c r="H48" s="12"/>
      <c r="I48" s="12"/>
      <c r="J48" s="12"/>
      <c r="K48" s="11"/>
      <c r="L48" s="11"/>
    </row>
    <row r="49" customFormat="false" ht="15" hidden="false" customHeight="false" outlineLevel="0" collapsed="false">
      <c r="A49" s="13"/>
      <c r="B49" s="8"/>
      <c r="C49" s="13" t="str">
        <f aca="false">IF(A49="","",IFERROR(VLOOKUP(A49,Inventory!$A:$D,4,0),"—"))</f>
        <v/>
      </c>
      <c r="D49" s="13" t="str">
        <f aca="false">IF(A49="","",IFERROR(VLOOKUP(A49,Inventory!$A:$E,5,0),"—"))</f>
        <v/>
      </c>
      <c r="E49" s="13"/>
      <c r="F49" s="13"/>
      <c r="G49" s="13"/>
      <c r="H49" s="14"/>
      <c r="I49" s="14"/>
      <c r="J49" s="14"/>
      <c r="K49" s="13"/>
      <c r="L49" s="13"/>
    </row>
    <row r="50" customFormat="false" ht="15" hidden="false" customHeight="false" outlineLevel="0" collapsed="false">
      <c r="A50" s="11"/>
      <c r="B50" s="9"/>
      <c r="C50" s="11" t="str">
        <f aca="false">IF(A50="","",IFERROR(VLOOKUP(A50,Inventory!$A:$D,4,0),"—"))</f>
        <v/>
      </c>
      <c r="D50" s="11" t="str">
        <f aca="false">IF(A50="","",IFERROR(VLOOKUP(A50,Inventory!$A:$E,5,0),"—"))</f>
        <v/>
      </c>
      <c r="E50" s="11"/>
      <c r="F50" s="11"/>
      <c r="G50" s="11"/>
      <c r="H50" s="12"/>
      <c r="I50" s="12"/>
      <c r="J50" s="12"/>
      <c r="K50" s="11"/>
      <c r="L50" s="11"/>
    </row>
    <row r="51" customFormat="false" ht="15" hidden="false" customHeight="false" outlineLevel="0" collapsed="false">
      <c r="A51" s="13"/>
      <c r="B51" s="8"/>
      <c r="C51" s="13" t="str">
        <f aca="false">IF(A51="","",IFERROR(VLOOKUP(A51,Inventory!$A:$D,4,0),"—"))</f>
        <v/>
      </c>
      <c r="D51" s="13" t="str">
        <f aca="false">IF(A51="","",IFERROR(VLOOKUP(A51,Inventory!$A:$E,5,0),"—"))</f>
        <v/>
      </c>
      <c r="E51" s="13"/>
      <c r="F51" s="13"/>
      <c r="G51" s="13"/>
      <c r="H51" s="14"/>
      <c r="I51" s="14"/>
      <c r="J51" s="14"/>
      <c r="K51" s="13"/>
      <c r="L51" s="13"/>
    </row>
    <row r="52" customFormat="false" ht="15" hidden="false" customHeight="false" outlineLevel="0" collapsed="false">
      <c r="A52" s="11"/>
      <c r="B52" s="9"/>
      <c r="C52" s="11" t="str">
        <f aca="false">IF(A52="","",IFERROR(VLOOKUP(A52,Inventory!$A:$D,4,0),"—"))</f>
        <v/>
      </c>
      <c r="D52" s="11" t="str">
        <f aca="false">IF(A52="","",IFERROR(VLOOKUP(A52,Inventory!$A:$E,5,0),"—"))</f>
        <v/>
      </c>
      <c r="E52" s="11"/>
      <c r="F52" s="11"/>
      <c r="G52" s="11"/>
      <c r="H52" s="12"/>
      <c r="I52" s="12"/>
      <c r="J52" s="12"/>
      <c r="K52" s="11"/>
      <c r="L52" s="11"/>
    </row>
    <row r="53" customFormat="false" ht="15" hidden="false" customHeight="false" outlineLevel="0" collapsed="false">
      <c r="A53" s="13"/>
      <c r="B53" s="8"/>
      <c r="C53" s="13" t="str">
        <f aca="false">IF(A53="","",IFERROR(VLOOKUP(A53,Inventory!$A:$D,4,0),"—"))</f>
        <v/>
      </c>
      <c r="D53" s="13" t="str">
        <f aca="false">IF(A53="","",IFERROR(VLOOKUP(A53,Inventory!$A:$E,5,0),"—"))</f>
        <v/>
      </c>
      <c r="E53" s="13"/>
      <c r="F53" s="13"/>
      <c r="G53" s="13"/>
      <c r="H53" s="14"/>
      <c r="I53" s="14"/>
      <c r="J53" s="14"/>
      <c r="K53" s="13"/>
      <c r="L53" s="13"/>
    </row>
    <row r="54" customFormat="false" ht="15" hidden="false" customHeight="false" outlineLevel="0" collapsed="false">
      <c r="A54" s="11"/>
      <c r="B54" s="9"/>
      <c r="C54" s="11" t="str">
        <f aca="false">IF(A54="","",IFERROR(VLOOKUP(A54,Inventory!$A:$D,4,0),"—"))</f>
        <v/>
      </c>
      <c r="D54" s="11" t="str">
        <f aca="false">IF(A54="","",IFERROR(VLOOKUP(A54,Inventory!$A:$E,5,0),"—"))</f>
        <v/>
      </c>
      <c r="E54" s="11"/>
      <c r="F54" s="11"/>
      <c r="G54" s="11"/>
      <c r="H54" s="12"/>
      <c r="I54" s="12"/>
      <c r="J54" s="12"/>
      <c r="K54" s="11"/>
      <c r="L54" s="11"/>
    </row>
    <row r="55" customFormat="false" ht="15" hidden="false" customHeight="false" outlineLevel="0" collapsed="false">
      <c r="A55" s="13"/>
      <c r="B55" s="8"/>
      <c r="C55" s="13" t="str">
        <f aca="false">IF(A55="","",IFERROR(VLOOKUP(A55,Inventory!$A:$D,4,0),"—"))</f>
        <v/>
      </c>
      <c r="D55" s="13" t="str">
        <f aca="false">IF(A55="","",IFERROR(VLOOKUP(A55,Inventory!$A:$E,5,0),"—"))</f>
        <v/>
      </c>
      <c r="E55" s="13"/>
      <c r="F55" s="13"/>
      <c r="G55" s="13"/>
      <c r="H55" s="14"/>
      <c r="I55" s="14"/>
      <c r="J55" s="14"/>
      <c r="K55" s="13"/>
      <c r="L55" s="13"/>
    </row>
    <row r="56" customFormat="false" ht="15" hidden="false" customHeight="false" outlineLevel="0" collapsed="false">
      <c r="A56" s="11"/>
      <c r="B56" s="9"/>
      <c r="C56" s="11" t="str">
        <f aca="false">IF(A56="","",IFERROR(VLOOKUP(A56,Inventory!$A:$D,4,0),"—"))</f>
        <v/>
      </c>
      <c r="D56" s="11" t="str">
        <f aca="false">IF(A56="","",IFERROR(VLOOKUP(A56,Inventory!$A:$E,5,0),"—"))</f>
        <v/>
      </c>
      <c r="E56" s="11"/>
      <c r="F56" s="11"/>
      <c r="G56" s="11"/>
      <c r="H56" s="12"/>
      <c r="I56" s="12"/>
      <c r="J56" s="12"/>
      <c r="K56" s="11"/>
      <c r="L56" s="11"/>
    </row>
    <row r="57" customFormat="false" ht="15" hidden="false" customHeight="false" outlineLevel="0" collapsed="false">
      <c r="A57" s="13"/>
      <c r="B57" s="8"/>
      <c r="C57" s="13" t="str">
        <f aca="false">IF(A57="","",IFERROR(VLOOKUP(A57,Inventory!$A:$D,4,0),"—"))</f>
        <v/>
      </c>
      <c r="D57" s="13" t="str">
        <f aca="false">IF(A57="","",IFERROR(VLOOKUP(A57,Inventory!$A:$E,5,0),"—"))</f>
        <v/>
      </c>
      <c r="E57" s="13"/>
      <c r="F57" s="13"/>
      <c r="G57" s="13"/>
      <c r="H57" s="14"/>
      <c r="I57" s="14"/>
      <c r="J57" s="14"/>
      <c r="K57" s="13"/>
      <c r="L57" s="13"/>
    </row>
    <row r="58" customFormat="false" ht="15" hidden="false" customHeight="false" outlineLevel="0" collapsed="false">
      <c r="A58" s="11"/>
      <c r="B58" s="9"/>
      <c r="C58" s="11" t="str">
        <f aca="false">IF(A58="","",IFERROR(VLOOKUP(A58,Inventory!$A:$D,4,0),"—"))</f>
        <v/>
      </c>
      <c r="D58" s="11" t="str">
        <f aca="false">IF(A58="","",IFERROR(VLOOKUP(A58,Inventory!$A:$E,5,0),"—"))</f>
        <v/>
      </c>
      <c r="E58" s="11"/>
      <c r="F58" s="11"/>
      <c r="G58" s="11"/>
      <c r="H58" s="12"/>
      <c r="I58" s="12"/>
      <c r="J58" s="12"/>
      <c r="K58" s="11"/>
      <c r="L58" s="11"/>
    </row>
    <row r="59" customFormat="false" ht="15" hidden="false" customHeight="false" outlineLevel="0" collapsed="false">
      <c r="A59" s="13"/>
      <c r="B59" s="8"/>
      <c r="C59" s="13" t="str">
        <f aca="false">IF(A59="","",IFERROR(VLOOKUP(A59,Inventory!$A:$D,4,0),"—"))</f>
        <v/>
      </c>
      <c r="D59" s="13" t="str">
        <f aca="false">IF(A59="","",IFERROR(VLOOKUP(A59,Inventory!$A:$E,5,0),"—"))</f>
        <v/>
      </c>
      <c r="E59" s="13"/>
      <c r="F59" s="13"/>
      <c r="G59" s="13"/>
      <c r="H59" s="14"/>
      <c r="I59" s="14"/>
      <c r="J59" s="14"/>
      <c r="K59" s="13"/>
      <c r="L59" s="13"/>
    </row>
    <row r="60" customFormat="false" ht="15" hidden="false" customHeight="false" outlineLevel="0" collapsed="false">
      <c r="A60" s="11"/>
      <c r="B60" s="9"/>
      <c r="C60" s="11" t="str">
        <f aca="false">IF(A60="","",IFERROR(VLOOKUP(A60,Inventory!$A:$D,4,0),"—"))</f>
        <v/>
      </c>
      <c r="D60" s="11" t="str">
        <f aca="false">IF(A60="","",IFERROR(VLOOKUP(A60,Inventory!$A:$E,5,0),"—"))</f>
        <v/>
      </c>
      <c r="E60" s="11"/>
      <c r="F60" s="11"/>
      <c r="G60" s="11"/>
      <c r="H60" s="12"/>
      <c r="I60" s="12"/>
      <c r="J60" s="12"/>
      <c r="K60" s="11"/>
      <c r="L60" s="11"/>
    </row>
    <row r="61" customFormat="false" ht="15" hidden="false" customHeight="false" outlineLevel="0" collapsed="false">
      <c r="A61" s="13"/>
      <c r="B61" s="8"/>
      <c r="C61" s="13" t="str">
        <f aca="false">IF(A61="","",IFERROR(VLOOKUP(A61,Inventory!$A:$D,4,0),"—"))</f>
        <v/>
      </c>
      <c r="D61" s="13" t="str">
        <f aca="false">IF(A61="","",IFERROR(VLOOKUP(A61,Inventory!$A:$E,5,0),"—"))</f>
        <v/>
      </c>
      <c r="E61" s="13"/>
      <c r="F61" s="13"/>
      <c r="G61" s="13"/>
      <c r="H61" s="14"/>
      <c r="I61" s="14"/>
      <c r="J61" s="14"/>
      <c r="K61" s="13"/>
      <c r="L61" s="13"/>
    </row>
    <row r="62" customFormat="false" ht="15" hidden="false" customHeight="false" outlineLevel="0" collapsed="false">
      <c r="A62" s="11"/>
      <c r="B62" s="9"/>
      <c r="C62" s="11" t="str">
        <f aca="false">IF(A62="","",IFERROR(VLOOKUP(A62,Inventory!$A:$D,4,0),"—"))</f>
        <v/>
      </c>
      <c r="D62" s="11" t="str">
        <f aca="false">IF(A62="","",IFERROR(VLOOKUP(A62,Inventory!$A:$E,5,0),"—"))</f>
        <v/>
      </c>
      <c r="E62" s="11"/>
      <c r="F62" s="11"/>
      <c r="G62" s="11"/>
      <c r="H62" s="12"/>
      <c r="I62" s="12"/>
      <c r="J62" s="12"/>
      <c r="K62" s="11"/>
      <c r="L62" s="11"/>
    </row>
    <row r="63" customFormat="false" ht="15" hidden="false" customHeight="false" outlineLevel="0" collapsed="false">
      <c r="A63" s="13"/>
      <c r="B63" s="8"/>
      <c r="C63" s="13" t="str">
        <f aca="false">IF(A63="","",IFERROR(VLOOKUP(A63,Inventory!$A:$D,4,0),"—"))</f>
        <v/>
      </c>
      <c r="D63" s="13" t="str">
        <f aca="false">IF(A63="","",IFERROR(VLOOKUP(A63,Inventory!$A:$E,5,0),"—"))</f>
        <v/>
      </c>
      <c r="E63" s="13"/>
      <c r="F63" s="13"/>
      <c r="G63" s="13"/>
      <c r="H63" s="14"/>
      <c r="I63" s="14"/>
      <c r="J63" s="14"/>
      <c r="K63" s="13"/>
      <c r="L63" s="13"/>
    </row>
    <row r="64" customFormat="false" ht="15" hidden="false" customHeight="false" outlineLevel="0" collapsed="false">
      <c r="A64" s="11"/>
      <c r="B64" s="9"/>
      <c r="C64" s="11" t="str">
        <f aca="false">IF(A64="","",IFERROR(VLOOKUP(A64,Inventory!$A:$D,4,0),"—"))</f>
        <v/>
      </c>
      <c r="D64" s="11" t="str">
        <f aca="false">IF(A64="","",IFERROR(VLOOKUP(A64,Inventory!$A:$E,5,0),"—"))</f>
        <v/>
      </c>
      <c r="E64" s="11"/>
      <c r="F64" s="11"/>
      <c r="G64" s="11"/>
      <c r="H64" s="12"/>
      <c r="I64" s="12"/>
      <c r="J64" s="12"/>
      <c r="K64" s="11"/>
      <c r="L64" s="11"/>
    </row>
    <row r="65" customFormat="false" ht="15" hidden="false" customHeight="false" outlineLevel="0" collapsed="false">
      <c r="A65" s="13"/>
      <c r="B65" s="8"/>
      <c r="C65" s="13" t="str">
        <f aca="false">IF(A65="","",IFERROR(VLOOKUP(A65,Inventory!$A:$D,4,0),"—"))</f>
        <v/>
      </c>
      <c r="D65" s="13" t="str">
        <f aca="false">IF(A65="","",IFERROR(VLOOKUP(A65,Inventory!$A:$E,5,0),"—"))</f>
        <v/>
      </c>
      <c r="E65" s="13"/>
      <c r="F65" s="13"/>
      <c r="G65" s="13"/>
      <c r="H65" s="14"/>
      <c r="I65" s="14"/>
      <c r="J65" s="14"/>
      <c r="K65" s="13"/>
      <c r="L65" s="13"/>
    </row>
    <row r="66" customFormat="false" ht="15" hidden="false" customHeight="false" outlineLevel="0" collapsed="false">
      <c r="A66" s="11"/>
      <c r="B66" s="9"/>
      <c r="C66" s="11" t="str">
        <f aca="false">IF(A66="","",IFERROR(VLOOKUP(A66,Inventory!$A:$D,4,0),"—"))</f>
        <v/>
      </c>
      <c r="D66" s="11" t="str">
        <f aca="false">IF(A66="","",IFERROR(VLOOKUP(A66,Inventory!$A:$E,5,0),"—"))</f>
        <v/>
      </c>
      <c r="E66" s="11"/>
      <c r="F66" s="11"/>
      <c r="G66" s="11"/>
      <c r="H66" s="12"/>
      <c r="I66" s="12"/>
      <c r="J66" s="12"/>
      <c r="K66" s="11"/>
      <c r="L66" s="11"/>
    </row>
    <row r="67" customFormat="false" ht="15" hidden="false" customHeight="false" outlineLevel="0" collapsed="false">
      <c r="A67" s="13"/>
      <c r="B67" s="8"/>
      <c r="C67" s="13" t="str">
        <f aca="false">IF(A67="","",IFERROR(VLOOKUP(A67,Inventory!$A:$D,4,0),"—"))</f>
        <v/>
      </c>
      <c r="D67" s="13" t="str">
        <f aca="false">IF(A67="","",IFERROR(VLOOKUP(A67,Inventory!$A:$E,5,0),"—"))</f>
        <v/>
      </c>
      <c r="E67" s="13"/>
      <c r="F67" s="13"/>
      <c r="G67" s="13"/>
      <c r="H67" s="14"/>
      <c r="I67" s="14"/>
      <c r="J67" s="14"/>
      <c r="K67" s="13"/>
      <c r="L67" s="13"/>
    </row>
    <row r="68" customFormat="false" ht="15" hidden="false" customHeight="false" outlineLevel="0" collapsed="false">
      <c r="A68" s="11"/>
      <c r="B68" s="9"/>
      <c r="C68" s="11" t="str">
        <f aca="false">IF(A68="","",IFERROR(VLOOKUP(A68,Inventory!$A:$D,4,0),"—"))</f>
        <v/>
      </c>
      <c r="D68" s="11" t="str">
        <f aca="false">IF(A68="","",IFERROR(VLOOKUP(A68,Inventory!$A:$E,5,0),"—"))</f>
        <v/>
      </c>
      <c r="E68" s="11"/>
      <c r="F68" s="11"/>
      <c r="G68" s="11"/>
      <c r="H68" s="12"/>
      <c r="I68" s="12"/>
      <c r="J68" s="12"/>
      <c r="K68" s="11"/>
      <c r="L68" s="11"/>
    </row>
    <row r="69" customFormat="false" ht="15" hidden="false" customHeight="false" outlineLevel="0" collapsed="false">
      <c r="A69" s="13"/>
      <c r="B69" s="8"/>
      <c r="C69" s="13" t="str">
        <f aca="false">IF(A69="","",IFERROR(VLOOKUP(A69,Inventory!$A:$D,4,0),"—"))</f>
        <v/>
      </c>
      <c r="D69" s="13" t="str">
        <f aca="false">IF(A69="","",IFERROR(VLOOKUP(A69,Inventory!$A:$E,5,0),"—"))</f>
        <v/>
      </c>
      <c r="E69" s="13"/>
      <c r="F69" s="13"/>
      <c r="G69" s="13"/>
      <c r="H69" s="14"/>
      <c r="I69" s="14"/>
      <c r="J69" s="14"/>
      <c r="K69" s="13"/>
      <c r="L69" s="13"/>
    </row>
    <row r="70" customFormat="false" ht="15" hidden="false" customHeight="false" outlineLevel="0" collapsed="false">
      <c r="A70" s="11"/>
      <c r="B70" s="9"/>
      <c r="C70" s="11" t="str">
        <f aca="false">IF(A70="","",IFERROR(VLOOKUP(A70,Inventory!$A:$D,4,0),"—"))</f>
        <v/>
      </c>
      <c r="D70" s="11" t="str">
        <f aca="false">IF(A70="","",IFERROR(VLOOKUP(A70,Inventory!$A:$E,5,0),"—"))</f>
        <v/>
      </c>
      <c r="E70" s="11"/>
      <c r="F70" s="11"/>
      <c r="G70" s="11"/>
      <c r="H70" s="12"/>
      <c r="I70" s="12"/>
      <c r="J70" s="12"/>
      <c r="K70" s="11"/>
      <c r="L70" s="11"/>
    </row>
    <row r="71" customFormat="false" ht="15" hidden="false" customHeight="false" outlineLevel="0" collapsed="false">
      <c r="A71" s="13"/>
      <c r="B71" s="8"/>
      <c r="C71" s="13" t="str">
        <f aca="false">IF(A71="","",IFERROR(VLOOKUP(A71,Inventory!$A:$D,4,0),"—"))</f>
        <v/>
      </c>
      <c r="D71" s="13" t="str">
        <f aca="false">IF(A71="","",IFERROR(VLOOKUP(A71,Inventory!$A:$E,5,0),"—"))</f>
        <v/>
      </c>
      <c r="E71" s="13"/>
      <c r="F71" s="13"/>
      <c r="G71" s="13"/>
      <c r="H71" s="14"/>
      <c r="I71" s="14"/>
      <c r="J71" s="14"/>
      <c r="K71" s="13"/>
      <c r="L71" s="13"/>
    </row>
    <row r="72" customFormat="false" ht="15" hidden="false" customHeight="false" outlineLevel="0" collapsed="false">
      <c r="A72" s="11"/>
      <c r="B72" s="9"/>
      <c r="C72" s="11" t="str">
        <f aca="false">IF(A72="","",IFERROR(VLOOKUP(A72,Inventory!$A:$D,4,0),"—"))</f>
        <v/>
      </c>
      <c r="D72" s="11" t="str">
        <f aca="false">IF(A72="","",IFERROR(VLOOKUP(A72,Inventory!$A:$E,5,0),"—"))</f>
        <v/>
      </c>
      <c r="E72" s="11"/>
      <c r="F72" s="11"/>
      <c r="G72" s="11"/>
      <c r="H72" s="12"/>
      <c r="I72" s="12"/>
      <c r="J72" s="12"/>
      <c r="K72" s="11"/>
      <c r="L72" s="11"/>
    </row>
    <row r="73" customFormat="false" ht="15" hidden="false" customHeight="false" outlineLevel="0" collapsed="false">
      <c r="A73" s="13"/>
      <c r="B73" s="8"/>
      <c r="C73" s="13" t="str">
        <f aca="false">IF(A73="","",IFERROR(VLOOKUP(A73,Inventory!$A:$D,4,0),"—"))</f>
        <v/>
      </c>
      <c r="D73" s="13" t="str">
        <f aca="false">IF(A73="","",IFERROR(VLOOKUP(A73,Inventory!$A:$E,5,0),"—"))</f>
        <v/>
      </c>
      <c r="E73" s="13"/>
      <c r="F73" s="13"/>
      <c r="G73" s="13"/>
      <c r="H73" s="14"/>
      <c r="I73" s="14"/>
      <c r="J73" s="14"/>
      <c r="K73" s="13"/>
      <c r="L73" s="13"/>
    </row>
    <row r="74" customFormat="false" ht="15" hidden="false" customHeight="false" outlineLevel="0" collapsed="false">
      <c r="A74" s="11"/>
      <c r="B74" s="9"/>
      <c r="C74" s="11" t="str">
        <f aca="false">IF(A74="","",IFERROR(VLOOKUP(A74,Inventory!$A:$D,4,0),"—"))</f>
        <v/>
      </c>
      <c r="D74" s="11" t="str">
        <f aca="false">IF(A74="","",IFERROR(VLOOKUP(A74,Inventory!$A:$E,5,0),"—"))</f>
        <v/>
      </c>
      <c r="E74" s="11"/>
      <c r="F74" s="11"/>
      <c r="G74" s="11"/>
      <c r="H74" s="12"/>
      <c r="I74" s="12"/>
      <c r="J74" s="12"/>
      <c r="K74" s="11"/>
      <c r="L74" s="11"/>
    </row>
    <row r="75" customFormat="false" ht="15" hidden="false" customHeight="false" outlineLevel="0" collapsed="false">
      <c r="A75" s="13"/>
      <c r="B75" s="8"/>
      <c r="C75" s="13" t="str">
        <f aca="false">IF(A75="","",IFERROR(VLOOKUP(A75,Inventory!$A:$D,4,0),"—"))</f>
        <v/>
      </c>
      <c r="D75" s="13" t="str">
        <f aca="false">IF(A75="","",IFERROR(VLOOKUP(A75,Inventory!$A:$E,5,0),"—"))</f>
        <v/>
      </c>
      <c r="E75" s="13"/>
      <c r="F75" s="13"/>
      <c r="G75" s="13"/>
      <c r="H75" s="14"/>
      <c r="I75" s="14"/>
      <c r="J75" s="14"/>
      <c r="K75" s="13"/>
      <c r="L75" s="13"/>
    </row>
    <row r="76" customFormat="false" ht="15" hidden="false" customHeight="false" outlineLevel="0" collapsed="false">
      <c r="A76" s="11"/>
      <c r="B76" s="9"/>
      <c r="C76" s="11" t="str">
        <f aca="false">IF(A76="","",IFERROR(VLOOKUP(A76,Inventory!$A:$D,4,0),"—"))</f>
        <v/>
      </c>
      <c r="D76" s="11" t="str">
        <f aca="false">IF(A76="","",IFERROR(VLOOKUP(A76,Inventory!$A:$E,5,0),"—"))</f>
        <v/>
      </c>
      <c r="E76" s="11"/>
      <c r="F76" s="11"/>
      <c r="G76" s="11"/>
      <c r="H76" s="12"/>
      <c r="I76" s="12"/>
      <c r="J76" s="12"/>
      <c r="K76" s="11"/>
      <c r="L76" s="11"/>
    </row>
    <row r="77" customFormat="false" ht="15" hidden="false" customHeight="false" outlineLevel="0" collapsed="false">
      <c r="A77" s="13"/>
      <c r="B77" s="8"/>
      <c r="C77" s="13" t="str">
        <f aca="false">IF(A77="","",IFERROR(VLOOKUP(A77,Inventory!$A:$D,4,0),"—"))</f>
        <v/>
      </c>
      <c r="D77" s="13" t="str">
        <f aca="false">IF(A77="","",IFERROR(VLOOKUP(A77,Inventory!$A:$E,5,0),"—"))</f>
        <v/>
      </c>
      <c r="E77" s="13"/>
      <c r="F77" s="13"/>
      <c r="G77" s="13"/>
      <c r="H77" s="14"/>
      <c r="I77" s="14"/>
      <c r="J77" s="14"/>
      <c r="K77" s="13"/>
      <c r="L77" s="13"/>
    </row>
    <row r="78" customFormat="false" ht="15" hidden="false" customHeight="false" outlineLevel="0" collapsed="false">
      <c r="A78" s="11"/>
      <c r="B78" s="9"/>
      <c r="C78" s="11" t="str">
        <f aca="false">IF(A78="","",IFERROR(VLOOKUP(A78,Inventory!$A:$D,4,0),"—"))</f>
        <v/>
      </c>
      <c r="D78" s="11" t="str">
        <f aca="false">IF(A78="","",IFERROR(VLOOKUP(A78,Inventory!$A:$E,5,0),"—"))</f>
        <v/>
      </c>
      <c r="E78" s="11"/>
      <c r="F78" s="11"/>
      <c r="G78" s="11"/>
      <c r="H78" s="12"/>
      <c r="I78" s="12"/>
      <c r="J78" s="12"/>
      <c r="K78" s="11"/>
      <c r="L78" s="11"/>
    </row>
    <row r="79" customFormat="false" ht="15" hidden="false" customHeight="false" outlineLevel="0" collapsed="false">
      <c r="A79" s="13"/>
      <c r="B79" s="8"/>
      <c r="C79" s="13" t="str">
        <f aca="false">IF(A79="","",IFERROR(VLOOKUP(A79,Inventory!$A:$D,4,0),"—"))</f>
        <v/>
      </c>
      <c r="D79" s="13" t="str">
        <f aca="false">IF(A79="","",IFERROR(VLOOKUP(A79,Inventory!$A:$E,5,0),"—"))</f>
        <v/>
      </c>
      <c r="E79" s="13"/>
      <c r="F79" s="13"/>
      <c r="G79" s="13"/>
      <c r="H79" s="14"/>
      <c r="I79" s="14"/>
      <c r="J79" s="14"/>
      <c r="K79" s="13"/>
      <c r="L79" s="13"/>
    </row>
    <row r="80" customFormat="false" ht="15" hidden="false" customHeight="false" outlineLevel="0" collapsed="false">
      <c r="A80" s="11"/>
      <c r="B80" s="9"/>
      <c r="C80" s="11" t="str">
        <f aca="false">IF(A80="","",IFERROR(VLOOKUP(A80,Inventory!$A:$D,4,0),"—"))</f>
        <v/>
      </c>
      <c r="D80" s="11" t="str">
        <f aca="false">IF(A80="","",IFERROR(VLOOKUP(A80,Inventory!$A:$E,5,0),"—"))</f>
        <v/>
      </c>
      <c r="E80" s="11"/>
      <c r="F80" s="11"/>
      <c r="G80" s="11"/>
      <c r="H80" s="12"/>
      <c r="I80" s="12"/>
      <c r="J80" s="12"/>
      <c r="K80" s="11"/>
      <c r="L80" s="11"/>
    </row>
    <row r="81" customFormat="false" ht="15" hidden="false" customHeight="false" outlineLevel="0" collapsed="false">
      <c r="A81" s="13"/>
      <c r="B81" s="8"/>
      <c r="C81" s="13" t="str">
        <f aca="false">IF(A81="","",IFERROR(VLOOKUP(A81,Inventory!$A:$D,4,0),"—"))</f>
        <v/>
      </c>
      <c r="D81" s="13" t="str">
        <f aca="false">IF(A81="","",IFERROR(VLOOKUP(A81,Inventory!$A:$E,5,0),"—"))</f>
        <v/>
      </c>
      <c r="E81" s="13"/>
      <c r="F81" s="13"/>
      <c r="G81" s="13"/>
      <c r="H81" s="14"/>
      <c r="I81" s="14"/>
      <c r="J81" s="14"/>
      <c r="K81" s="13"/>
      <c r="L81" s="13"/>
    </row>
    <row r="82" customFormat="false" ht="15" hidden="false" customHeight="false" outlineLevel="0" collapsed="false">
      <c r="A82" s="11"/>
      <c r="B82" s="9"/>
      <c r="C82" s="11" t="str">
        <f aca="false">IF(A82="","",IFERROR(VLOOKUP(A82,Inventory!$A:$D,4,0),"—"))</f>
        <v/>
      </c>
      <c r="D82" s="11" t="str">
        <f aca="false">IF(A82="","",IFERROR(VLOOKUP(A82,Inventory!$A:$E,5,0),"—"))</f>
        <v/>
      </c>
      <c r="E82" s="11"/>
      <c r="F82" s="11"/>
      <c r="G82" s="11"/>
      <c r="H82" s="12"/>
      <c r="I82" s="12"/>
      <c r="J82" s="12"/>
      <c r="K82" s="11"/>
      <c r="L82" s="11"/>
    </row>
    <row r="83" customFormat="false" ht="15" hidden="false" customHeight="false" outlineLevel="0" collapsed="false">
      <c r="A83" s="13"/>
      <c r="B83" s="8"/>
      <c r="C83" s="13" t="str">
        <f aca="false">IF(A83="","",IFERROR(VLOOKUP(A83,Inventory!$A:$D,4,0),"—"))</f>
        <v/>
      </c>
      <c r="D83" s="13" t="str">
        <f aca="false">IF(A83="","",IFERROR(VLOOKUP(A83,Inventory!$A:$E,5,0),"—"))</f>
        <v/>
      </c>
      <c r="E83" s="13"/>
      <c r="F83" s="13"/>
      <c r="G83" s="13"/>
      <c r="H83" s="14"/>
      <c r="I83" s="14"/>
      <c r="J83" s="14"/>
      <c r="K83" s="13"/>
      <c r="L83" s="13"/>
    </row>
    <row r="84" customFormat="false" ht="15" hidden="false" customHeight="false" outlineLevel="0" collapsed="false">
      <c r="A84" s="11"/>
      <c r="B84" s="9"/>
      <c r="C84" s="11" t="str">
        <f aca="false">IF(A84="","",IFERROR(VLOOKUP(A84,Inventory!$A:$D,4,0),"—"))</f>
        <v/>
      </c>
      <c r="D84" s="11" t="str">
        <f aca="false">IF(A84="","",IFERROR(VLOOKUP(A84,Inventory!$A:$E,5,0),"—"))</f>
        <v/>
      </c>
      <c r="E84" s="11"/>
      <c r="F84" s="11"/>
      <c r="G84" s="11"/>
      <c r="H84" s="12"/>
      <c r="I84" s="12"/>
      <c r="J84" s="12"/>
      <c r="K84" s="11"/>
      <c r="L84" s="11"/>
    </row>
    <row r="85" customFormat="false" ht="15" hidden="false" customHeight="false" outlineLevel="0" collapsed="false">
      <c r="A85" s="13"/>
      <c r="B85" s="8"/>
      <c r="C85" s="13" t="str">
        <f aca="false">IF(A85="","",IFERROR(VLOOKUP(A85,Inventory!$A:$D,4,0),"—"))</f>
        <v/>
      </c>
      <c r="D85" s="13" t="str">
        <f aca="false">IF(A85="","",IFERROR(VLOOKUP(A85,Inventory!$A:$E,5,0),"—"))</f>
        <v/>
      </c>
      <c r="E85" s="13"/>
      <c r="F85" s="13"/>
      <c r="G85" s="13"/>
      <c r="H85" s="14"/>
      <c r="I85" s="14"/>
      <c r="J85" s="14"/>
      <c r="K85" s="13"/>
      <c r="L85" s="13"/>
    </row>
    <row r="86" customFormat="false" ht="15" hidden="false" customHeight="false" outlineLevel="0" collapsed="false">
      <c r="A86" s="11"/>
      <c r="B86" s="9"/>
      <c r="C86" s="11" t="str">
        <f aca="false">IF(A86="","",IFERROR(VLOOKUP(A86,Inventory!$A:$D,4,0),"—"))</f>
        <v/>
      </c>
      <c r="D86" s="11" t="str">
        <f aca="false">IF(A86="","",IFERROR(VLOOKUP(A86,Inventory!$A:$E,5,0),"—"))</f>
        <v/>
      </c>
      <c r="E86" s="11"/>
      <c r="F86" s="11"/>
      <c r="G86" s="11"/>
      <c r="H86" s="12"/>
      <c r="I86" s="12"/>
      <c r="J86" s="12"/>
      <c r="K86" s="11"/>
      <c r="L86" s="11"/>
    </row>
    <row r="87" customFormat="false" ht="15" hidden="false" customHeight="false" outlineLevel="0" collapsed="false">
      <c r="A87" s="13"/>
      <c r="B87" s="8"/>
      <c r="C87" s="13" t="str">
        <f aca="false">IF(A87="","",IFERROR(VLOOKUP(A87,Inventory!$A:$D,4,0),"—"))</f>
        <v/>
      </c>
      <c r="D87" s="13" t="str">
        <f aca="false">IF(A87="","",IFERROR(VLOOKUP(A87,Inventory!$A:$E,5,0),"—"))</f>
        <v/>
      </c>
      <c r="E87" s="13"/>
      <c r="F87" s="13"/>
      <c r="G87" s="13"/>
      <c r="H87" s="14"/>
      <c r="I87" s="14"/>
      <c r="J87" s="14"/>
      <c r="K87" s="13"/>
      <c r="L87" s="13"/>
    </row>
    <row r="88" customFormat="false" ht="15" hidden="false" customHeight="false" outlineLevel="0" collapsed="false">
      <c r="A88" s="11"/>
      <c r="B88" s="9"/>
      <c r="C88" s="11" t="str">
        <f aca="false">IF(A88="","",IFERROR(VLOOKUP(A88,Inventory!$A:$D,4,0),"—"))</f>
        <v/>
      </c>
      <c r="D88" s="11" t="str">
        <f aca="false">IF(A88="","",IFERROR(VLOOKUP(A88,Inventory!$A:$E,5,0),"—"))</f>
        <v/>
      </c>
      <c r="E88" s="11"/>
      <c r="F88" s="11"/>
      <c r="G88" s="11"/>
      <c r="H88" s="12"/>
      <c r="I88" s="12"/>
      <c r="J88" s="12"/>
      <c r="K88" s="11"/>
      <c r="L88" s="11"/>
    </row>
    <row r="89" customFormat="false" ht="15" hidden="false" customHeight="false" outlineLevel="0" collapsed="false">
      <c r="A89" s="13"/>
      <c r="B89" s="8"/>
      <c r="C89" s="13" t="str">
        <f aca="false">IF(A89="","",IFERROR(VLOOKUP(A89,Inventory!$A:$D,4,0),"—"))</f>
        <v/>
      </c>
      <c r="D89" s="13" t="str">
        <f aca="false">IF(A89="","",IFERROR(VLOOKUP(A89,Inventory!$A:$E,5,0),"—"))</f>
        <v/>
      </c>
      <c r="E89" s="13"/>
      <c r="F89" s="13"/>
      <c r="G89" s="13"/>
      <c r="H89" s="14"/>
      <c r="I89" s="14"/>
      <c r="J89" s="14"/>
      <c r="K89" s="13"/>
      <c r="L89" s="13"/>
    </row>
    <row r="90" customFormat="false" ht="15" hidden="false" customHeight="false" outlineLevel="0" collapsed="false">
      <c r="A90" s="11"/>
      <c r="B90" s="9"/>
      <c r="C90" s="11" t="str">
        <f aca="false">IF(A90="","",IFERROR(VLOOKUP(A90,Inventory!$A:$D,4,0),"—"))</f>
        <v/>
      </c>
      <c r="D90" s="11" t="str">
        <f aca="false">IF(A90="","",IFERROR(VLOOKUP(A90,Inventory!$A:$E,5,0),"—"))</f>
        <v/>
      </c>
      <c r="E90" s="11"/>
      <c r="F90" s="11"/>
      <c r="G90" s="11"/>
      <c r="H90" s="12"/>
      <c r="I90" s="12"/>
      <c r="J90" s="12"/>
      <c r="K90" s="11"/>
      <c r="L90" s="11"/>
    </row>
    <row r="91" customFormat="false" ht="15" hidden="false" customHeight="false" outlineLevel="0" collapsed="false">
      <c r="A91" s="13"/>
      <c r="B91" s="8"/>
      <c r="C91" s="13" t="str">
        <f aca="false">IF(A91="","",IFERROR(VLOOKUP(A91,Inventory!$A:$D,4,0),"—"))</f>
        <v/>
      </c>
      <c r="D91" s="13" t="str">
        <f aca="false">IF(A91="","",IFERROR(VLOOKUP(A91,Inventory!$A:$E,5,0),"—"))</f>
        <v/>
      </c>
      <c r="E91" s="13"/>
      <c r="F91" s="13"/>
      <c r="G91" s="13"/>
      <c r="H91" s="14"/>
      <c r="I91" s="14"/>
      <c r="J91" s="14"/>
      <c r="K91" s="13"/>
      <c r="L91" s="13"/>
    </row>
    <row r="92" customFormat="false" ht="15" hidden="false" customHeight="false" outlineLevel="0" collapsed="false">
      <c r="A92" s="11"/>
      <c r="B92" s="9"/>
      <c r="C92" s="11" t="str">
        <f aca="false">IF(A92="","",IFERROR(VLOOKUP(A92,Inventory!$A:$D,4,0),"—"))</f>
        <v/>
      </c>
      <c r="D92" s="11" t="str">
        <f aca="false">IF(A92="","",IFERROR(VLOOKUP(A92,Inventory!$A:$E,5,0),"—"))</f>
        <v/>
      </c>
      <c r="E92" s="11"/>
      <c r="F92" s="11"/>
      <c r="G92" s="11"/>
      <c r="H92" s="12"/>
      <c r="I92" s="12"/>
      <c r="J92" s="12"/>
      <c r="K92" s="11"/>
      <c r="L92" s="11"/>
    </row>
    <row r="93" customFormat="false" ht="15" hidden="false" customHeight="false" outlineLevel="0" collapsed="false">
      <c r="A93" s="13"/>
      <c r="B93" s="8"/>
      <c r="C93" s="13" t="str">
        <f aca="false">IF(A93="","",IFERROR(VLOOKUP(A93,Inventory!$A:$D,4,0),"—"))</f>
        <v/>
      </c>
      <c r="D93" s="13" t="str">
        <f aca="false">IF(A93="","",IFERROR(VLOOKUP(A93,Inventory!$A:$E,5,0),"—"))</f>
        <v/>
      </c>
      <c r="E93" s="13"/>
      <c r="F93" s="13"/>
      <c r="G93" s="13"/>
      <c r="H93" s="14"/>
      <c r="I93" s="14"/>
      <c r="J93" s="14"/>
      <c r="K93" s="13"/>
      <c r="L93" s="13"/>
    </row>
    <row r="94" customFormat="false" ht="15" hidden="false" customHeight="false" outlineLevel="0" collapsed="false">
      <c r="A94" s="11"/>
      <c r="B94" s="9"/>
      <c r="C94" s="11" t="str">
        <f aca="false">IF(A94="","",IFERROR(VLOOKUP(A94,Inventory!$A:$D,4,0),"—"))</f>
        <v/>
      </c>
      <c r="D94" s="11" t="str">
        <f aca="false">IF(A94="","",IFERROR(VLOOKUP(A94,Inventory!$A:$E,5,0),"—"))</f>
        <v/>
      </c>
      <c r="E94" s="11"/>
      <c r="F94" s="11"/>
      <c r="G94" s="11"/>
      <c r="H94" s="12"/>
      <c r="I94" s="12"/>
      <c r="J94" s="12"/>
      <c r="K94" s="11"/>
      <c r="L94" s="11"/>
    </row>
    <row r="95" customFormat="false" ht="15" hidden="false" customHeight="false" outlineLevel="0" collapsed="false">
      <c r="A95" s="13"/>
      <c r="B95" s="8"/>
      <c r="C95" s="13" t="str">
        <f aca="false">IF(A95="","",IFERROR(VLOOKUP(A95,Inventory!$A:$D,4,0),"—"))</f>
        <v/>
      </c>
      <c r="D95" s="13" t="str">
        <f aca="false">IF(A95="","",IFERROR(VLOOKUP(A95,Inventory!$A:$E,5,0),"—"))</f>
        <v/>
      </c>
      <c r="E95" s="13"/>
      <c r="F95" s="13"/>
      <c r="G95" s="13"/>
      <c r="H95" s="14"/>
      <c r="I95" s="14"/>
      <c r="J95" s="14"/>
      <c r="K95" s="13"/>
      <c r="L95" s="13"/>
    </row>
    <row r="96" customFormat="false" ht="15" hidden="false" customHeight="false" outlineLevel="0" collapsed="false">
      <c r="A96" s="11"/>
      <c r="B96" s="9"/>
      <c r="C96" s="11" t="str">
        <f aca="false">IF(A96="","",IFERROR(VLOOKUP(A96,Inventory!$A:$D,4,0),"—"))</f>
        <v/>
      </c>
      <c r="D96" s="11" t="str">
        <f aca="false">IF(A96="","",IFERROR(VLOOKUP(A96,Inventory!$A:$E,5,0),"—"))</f>
        <v/>
      </c>
      <c r="E96" s="11"/>
      <c r="F96" s="11"/>
      <c r="G96" s="11"/>
      <c r="H96" s="12"/>
      <c r="I96" s="12"/>
      <c r="J96" s="12"/>
      <c r="K96" s="11"/>
      <c r="L96" s="11"/>
    </row>
    <row r="97" customFormat="false" ht="15" hidden="false" customHeight="false" outlineLevel="0" collapsed="false">
      <c r="A97" s="13"/>
      <c r="B97" s="8"/>
      <c r="C97" s="13" t="str">
        <f aca="false">IF(A97="","",IFERROR(VLOOKUP(A97,Inventory!$A:$D,4,0),"—"))</f>
        <v/>
      </c>
      <c r="D97" s="13" t="str">
        <f aca="false">IF(A97="","",IFERROR(VLOOKUP(A97,Inventory!$A:$E,5,0),"—"))</f>
        <v/>
      </c>
      <c r="E97" s="13"/>
      <c r="F97" s="13"/>
      <c r="G97" s="13"/>
      <c r="H97" s="14"/>
      <c r="I97" s="14"/>
      <c r="J97" s="14"/>
      <c r="K97" s="13"/>
      <c r="L97" s="13"/>
    </row>
    <row r="98" customFormat="false" ht="15" hidden="false" customHeight="false" outlineLevel="0" collapsed="false">
      <c r="A98" s="11"/>
      <c r="B98" s="9"/>
      <c r="C98" s="11" t="str">
        <f aca="false">IF(A98="","",IFERROR(VLOOKUP(A98,Inventory!$A:$D,4,0),"—"))</f>
        <v/>
      </c>
      <c r="D98" s="11" t="str">
        <f aca="false">IF(A98="","",IFERROR(VLOOKUP(A98,Inventory!$A:$E,5,0),"—"))</f>
        <v/>
      </c>
      <c r="E98" s="11"/>
      <c r="F98" s="11"/>
      <c r="G98" s="11"/>
      <c r="H98" s="12"/>
      <c r="I98" s="12"/>
      <c r="J98" s="12"/>
      <c r="K98" s="11"/>
      <c r="L98" s="11"/>
    </row>
    <row r="99" customFormat="false" ht="15" hidden="false" customHeight="false" outlineLevel="0" collapsed="false">
      <c r="A99" s="13"/>
      <c r="B99" s="8"/>
      <c r="C99" s="13" t="str">
        <f aca="false">IF(A99="","",IFERROR(VLOOKUP(A99,Inventory!$A:$D,4,0),"—"))</f>
        <v/>
      </c>
      <c r="D99" s="13" t="str">
        <f aca="false">IF(A99="","",IFERROR(VLOOKUP(A99,Inventory!$A:$E,5,0),"—"))</f>
        <v/>
      </c>
      <c r="E99" s="13"/>
      <c r="F99" s="13"/>
      <c r="G99" s="13"/>
      <c r="H99" s="14"/>
      <c r="I99" s="14"/>
      <c r="J99" s="14"/>
      <c r="K99" s="13"/>
      <c r="L99" s="13"/>
    </row>
    <row r="100" customFormat="false" ht="15" hidden="false" customHeight="false" outlineLevel="0" collapsed="false">
      <c r="A100" s="11"/>
      <c r="B100" s="9"/>
      <c r="C100" s="11" t="str">
        <f aca="false">IF(A100="","",IFERROR(VLOOKUP(A100,Inventory!$A:$D,4,0),"—"))</f>
        <v/>
      </c>
      <c r="D100" s="11" t="str">
        <f aca="false">IF(A100="","",IFERROR(VLOOKUP(A100,Inventory!$A:$E,5,0),"—"))</f>
        <v/>
      </c>
      <c r="E100" s="11"/>
      <c r="F100" s="11"/>
      <c r="G100" s="11"/>
      <c r="H100" s="12"/>
      <c r="I100" s="12"/>
      <c r="J100" s="12"/>
      <c r="K100" s="11"/>
      <c r="L100" s="11"/>
    </row>
    <row r="101" customFormat="false" ht="15" hidden="false" customHeight="false" outlineLevel="0" collapsed="false">
      <c r="A101" s="13"/>
      <c r="B101" s="8"/>
      <c r="C101" s="13" t="str">
        <f aca="false">IF(A101="","",IFERROR(VLOOKUP(A101,Inventory!$A:$D,4,0),"—"))</f>
        <v/>
      </c>
      <c r="D101" s="13" t="str">
        <f aca="false">IF(A101="","",IFERROR(VLOOKUP(A101,Inventory!$A:$E,5,0),"—"))</f>
        <v/>
      </c>
      <c r="E101" s="13"/>
      <c r="F101" s="13"/>
      <c r="G101" s="13"/>
      <c r="H101" s="14"/>
      <c r="I101" s="14"/>
      <c r="J101" s="14"/>
      <c r="K101" s="13"/>
      <c r="L101" s="13"/>
    </row>
    <row r="102" customFormat="false" ht="15" hidden="false" customHeight="false" outlineLevel="0" collapsed="false">
      <c r="A102" s="11"/>
      <c r="B102" s="9"/>
      <c r="C102" s="11" t="str">
        <f aca="false">IF(A102="","",IFERROR(VLOOKUP(A102,Inventory!$A:$D,4,0),"—"))</f>
        <v/>
      </c>
      <c r="D102" s="11" t="str">
        <f aca="false">IF(A102="","",IFERROR(VLOOKUP(A102,Inventory!$A:$E,5,0),"—"))</f>
        <v/>
      </c>
      <c r="E102" s="11"/>
      <c r="F102" s="11"/>
      <c r="G102" s="11"/>
      <c r="H102" s="12"/>
      <c r="I102" s="12"/>
      <c r="J102" s="12"/>
      <c r="K102" s="11"/>
      <c r="L102" s="11"/>
    </row>
    <row r="103" customFormat="false" ht="15" hidden="false" customHeight="false" outlineLevel="0" collapsed="false">
      <c r="A103" s="13"/>
      <c r="B103" s="8"/>
      <c r="C103" s="13" t="str">
        <f aca="false">IF(A103="","",IFERROR(VLOOKUP(A103,Inventory!$A:$D,4,0),"—"))</f>
        <v/>
      </c>
      <c r="D103" s="13" t="str">
        <f aca="false">IF(A103="","",IFERROR(VLOOKUP(A103,Inventory!$A:$E,5,0),"—"))</f>
        <v/>
      </c>
      <c r="E103" s="13"/>
      <c r="F103" s="13"/>
      <c r="G103" s="13"/>
      <c r="H103" s="14"/>
      <c r="I103" s="14"/>
      <c r="J103" s="14"/>
      <c r="K103" s="13"/>
      <c r="L103" s="13"/>
    </row>
    <row r="104" customFormat="false" ht="15" hidden="false" customHeight="false" outlineLevel="0" collapsed="false">
      <c r="A104" s="11"/>
      <c r="B104" s="9"/>
      <c r="C104" s="11" t="str">
        <f aca="false">IF(A104="","",IFERROR(VLOOKUP(A104,Inventory!$A:$D,4,0),"—"))</f>
        <v/>
      </c>
      <c r="D104" s="11" t="str">
        <f aca="false">IF(A104="","",IFERROR(VLOOKUP(A104,Inventory!$A:$E,5,0),"—"))</f>
        <v/>
      </c>
      <c r="E104" s="11"/>
      <c r="F104" s="11"/>
      <c r="G104" s="11"/>
      <c r="H104" s="12"/>
      <c r="I104" s="12"/>
      <c r="J104" s="12"/>
      <c r="K104" s="11"/>
      <c r="L104" s="11"/>
    </row>
    <row r="105" customFormat="false" ht="15" hidden="false" customHeight="false" outlineLevel="0" collapsed="false">
      <c r="A105" s="13"/>
      <c r="B105" s="8"/>
      <c r="C105" s="13" t="str">
        <f aca="false">IF(A105="","",IFERROR(VLOOKUP(A105,Inventory!$A:$D,4,0),"—"))</f>
        <v/>
      </c>
      <c r="D105" s="13" t="str">
        <f aca="false">IF(A105="","",IFERROR(VLOOKUP(A105,Inventory!$A:$E,5,0),"—"))</f>
        <v/>
      </c>
      <c r="E105" s="13"/>
      <c r="F105" s="13"/>
      <c r="G105" s="13"/>
      <c r="H105" s="14"/>
      <c r="I105" s="14"/>
      <c r="J105" s="14"/>
      <c r="K105" s="13"/>
      <c r="L105" s="13"/>
    </row>
    <row r="106" customFormat="false" ht="15" hidden="false" customHeight="false" outlineLevel="0" collapsed="false">
      <c r="A106" s="11"/>
      <c r="B106" s="9"/>
      <c r="C106" s="11" t="str">
        <f aca="false">IF(A106="","",IFERROR(VLOOKUP(A106,Inventory!$A:$D,4,0),"—"))</f>
        <v/>
      </c>
      <c r="D106" s="11" t="str">
        <f aca="false">IF(A106="","",IFERROR(VLOOKUP(A106,Inventory!$A:$E,5,0),"—"))</f>
        <v/>
      </c>
      <c r="E106" s="11"/>
      <c r="F106" s="11"/>
      <c r="G106" s="11"/>
      <c r="H106" s="12"/>
      <c r="I106" s="12"/>
      <c r="J106" s="12"/>
      <c r="K106" s="11"/>
      <c r="L106" s="11"/>
    </row>
    <row r="107" customFormat="false" ht="15" hidden="false" customHeight="false" outlineLevel="0" collapsed="false">
      <c r="A107" s="13"/>
      <c r="B107" s="8"/>
      <c r="C107" s="13" t="str">
        <f aca="false">IF(A107="","",IFERROR(VLOOKUP(A107,Inventory!$A:$D,4,0),"—"))</f>
        <v/>
      </c>
      <c r="D107" s="13" t="str">
        <f aca="false">IF(A107="","",IFERROR(VLOOKUP(A107,Inventory!$A:$E,5,0),"—"))</f>
        <v/>
      </c>
      <c r="E107" s="13"/>
      <c r="F107" s="13"/>
      <c r="G107" s="13"/>
      <c r="H107" s="14"/>
      <c r="I107" s="14"/>
      <c r="J107" s="14"/>
      <c r="K107" s="13"/>
      <c r="L107" s="13"/>
    </row>
    <row r="108" customFormat="false" ht="15" hidden="false" customHeight="false" outlineLevel="0" collapsed="false">
      <c r="A108" s="11"/>
      <c r="B108" s="9"/>
      <c r="C108" s="11" t="str">
        <f aca="false">IF(A108="","",IFERROR(VLOOKUP(A108,Inventory!$A:$D,4,0),"—"))</f>
        <v/>
      </c>
      <c r="D108" s="11" t="str">
        <f aca="false">IF(A108="","",IFERROR(VLOOKUP(A108,Inventory!$A:$E,5,0),"—"))</f>
        <v/>
      </c>
      <c r="E108" s="11"/>
      <c r="F108" s="11"/>
      <c r="G108" s="11"/>
      <c r="H108" s="12"/>
      <c r="I108" s="12"/>
      <c r="J108" s="12"/>
      <c r="K108" s="11"/>
      <c r="L108" s="11"/>
    </row>
    <row r="109" customFormat="false" ht="15" hidden="false" customHeight="false" outlineLevel="0" collapsed="false">
      <c r="A109" s="13"/>
      <c r="B109" s="8"/>
      <c r="C109" s="13" t="str">
        <f aca="false">IF(A109="","",IFERROR(VLOOKUP(A109,Inventory!$A:$D,4,0),"—"))</f>
        <v/>
      </c>
      <c r="D109" s="13" t="str">
        <f aca="false">IF(A109="","",IFERROR(VLOOKUP(A109,Inventory!$A:$E,5,0),"—"))</f>
        <v/>
      </c>
      <c r="E109" s="13"/>
      <c r="F109" s="13"/>
      <c r="G109" s="13"/>
      <c r="H109" s="14"/>
      <c r="I109" s="14"/>
      <c r="J109" s="14"/>
      <c r="K109" s="13"/>
      <c r="L109" s="13"/>
    </row>
    <row r="110" customFormat="false" ht="15" hidden="false" customHeight="false" outlineLevel="0" collapsed="false">
      <c r="A110" s="11"/>
      <c r="B110" s="9"/>
      <c r="C110" s="11" t="str">
        <f aca="false">IF(A110="","",IFERROR(VLOOKUP(A110,Inventory!$A:$D,4,0),"—"))</f>
        <v/>
      </c>
      <c r="D110" s="11" t="str">
        <f aca="false">IF(A110="","",IFERROR(VLOOKUP(A110,Inventory!$A:$E,5,0),"—"))</f>
        <v/>
      </c>
      <c r="E110" s="11"/>
      <c r="F110" s="11"/>
      <c r="G110" s="11"/>
      <c r="H110" s="12"/>
      <c r="I110" s="12"/>
      <c r="J110" s="12"/>
      <c r="K110" s="11"/>
      <c r="L110" s="11"/>
    </row>
    <row r="111" customFormat="false" ht="15" hidden="false" customHeight="false" outlineLevel="0" collapsed="false">
      <c r="A111" s="13"/>
      <c r="B111" s="8"/>
      <c r="C111" s="13" t="str">
        <f aca="false">IF(A111="","",IFERROR(VLOOKUP(A111,Inventory!$A:$D,4,0),"—"))</f>
        <v/>
      </c>
      <c r="D111" s="13" t="str">
        <f aca="false">IF(A111="","",IFERROR(VLOOKUP(A111,Inventory!$A:$E,5,0),"—"))</f>
        <v/>
      </c>
      <c r="E111" s="13"/>
      <c r="F111" s="13"/>
      <c r="G111" s="13"/>
      <c r="H111" s="14"/>
      <c r="I111" s="14"/>
      <c r="J111" s="14"/>
      <c r="K111" s="13"/>
      <c r="L111" s="13"/>
    </row>
    <row r="112" customFormat="false" ht="15" hidden="false" customHeight="false" outlineLevel="0" collapsed="false">
      <c r="A112" s="11"/>
      <c r="B112" s="9"/>
      <c r="C112" s="11" t="str">
        <f aca="false">IF(A112="","",IFERROR(VLOOKUP(A112,Inventory!$A:$D,4,0),"—"))</f>
        <v/>
      </c>
      <c r="D112" s="11" t="str">
        <f aca="false">IF(A112="","",IFERROR(VLOOKUP(A112,Inventory!$A:$E,5,0),"—"))</f>
        <v/>
      </c>
      <c r="E112" s="11"/>
      <c r="F112" s="11"/>
      <c r="G112" s="11"/>
      <c r="H112" s="12"/>
      <c r="I112" s="12"/>
      <c r="J112" s="12"/>
      <c r="K112" s="11"/>
      <c r="L112" s="11"/>
    </row>
    <row r="113" customFormat="false" ht="15" hidden="false" customHeight="false" outlineLevel="0" collapsed="false">
      <c r="A113" s="13"/>
      <c r="B113" s="8"/>
      <c r="C113" s="13" t="str">
        <f aca="false">IF(A113="","",IFERROR(VLOOKUP(A113,Inventory!$A:$D,4,0),"—"))</f>
        <v/>
      </c>
      <c r="D113" s="13" t="str">
        <f aca="false">IF(A113="","",IFERROR(VLOOKUP(A113,Inventory!$A:$E,5,0),"—"))</f>
        <v/>
      </c>
      <c r="E113" s="13"/>
      <c r="F113" s="13"/>
      <c r="G113" s="13"/>
      <c r="H113" s="14"/>
      <c r="I113" s="14"/>
      <c r="J113" s="14"/>
      <c r="K113" s="13"/>
      <c r="L113" s="13"/>
    </row>
    <row r="114" customFormat="false" ht="15" hidden="false" customHeight="false" outlineLevel="0" collapsed="false">
      <c r="A114" s="11"/>
      <c r="B114" s="9"/>
      <c r="C114" s="11" t="str">
        <f aca="false">IF(A114="","",IFERROR(VLOOKUP(A114,Inventory!$A:$D,4,0),"—"))</f>
        <v/>
      </c>
      <c r="D114" s="11" t="str">
        <f aca="false">IF(A114="","",IFERROR(VLOOKUP(A114,Inventory!$A:$E,5,0),"—"))</f>
        <v/>
      </c>
      <c r="E114" s="11"/>
      <c r="F114" s="11"/>
      <c r="G114" s="11"/>
      <c r="H114" s="12"/>
      <c r="I114" s="12"/>
      <c r="J114" s="12"/>
      <c r="K114" s="11"/>
      <c r="L114" s="11"/>
    </row>
    <row r="115" customFormat="false" ht="15" hidden="false" customHeight="false" outlineLevel="0" collapsed="false">
      <c r="A115" s="13"/>
      <c r="B115" s="8"/>
      <c r="C115" s="13" t="str">
        <f aca="false">IF(A115="","",IFERROR(VLOOKUP(A115,Inventory!$A:$D,4,0),"—"))</f>
        <v/>
      </c>
      <c r="D115" s="13" t="str">
        <f aca="false">IF(A115="","",IFERROR(VLOOKUP(A115,Inventory!$A:$E,5,0),"—"))</f>
        <v/>
      </c>
      <c r="E115" s="13"/>
      <c r="F115" s="13"/>
      <c r="G115" s="13"/>
      <c r="H115" s="14"/>
      <c r="I115" s="14"/>
      <c r="J115" s="14"/>
      <c r="K115" s="13"/>
      <c r="L115" s="13"/>
    </row>
    <row r="116" customFormat="false" ht="15" hidden="false" customHeight="false" outlineLevel="0" collapsed="false">
      <c r="A116" s="11"/>
      <c r="B116" s="9"/>
      <c r="C116" s="11" t="str">
        <f aca="false">IF(A116="","",IFERROR(VLOOKUP(A116,Inventory!$A:$D,4,0),"—"))</f>
        <v/>
      </c>
      <c r="D116" s="11" t="str">
        <f aca="false">IF(A116="","",IFERROR(VLOOKUP(A116,Inventory!$A:$E,5,0),"—"))</f>
        <v/>
      </c>
      <c r="E116" s="11"/>
      <c r="F116" s="11"/>
      <c r="G116" s="11"/>
      <c r="H116" s="12"/>
      <c r="I116" s="12"/>
      <c r="J116" s="12"/>
      <c r="K116" s="11"/>
      <c r="L116" s="11"/>
    </row>
    <row r="117" customFormat="false" ht="15" hidden="false" customHeight="false" outlineLevel="0" collapsed="false">
      <c r="A117" s="13"/>
      <c r="B117" s="8"/>
      <c r="C117" s="13" t="str">
        <f aca="false">IF(A117="","",IFERROR(VLOOKUP(A117,Inventory!$A:$D,4,0),"—"))</f>
        <v/>
      </c>
      <c r="D117" s="13" t="str">
        <f aca="false">IF(A117="","",IFERROR(VLOOKUP(A117,Inventory!$A:$E,5,0),"—"))</f>
        <v/>
      </c>
      <c r="E117" s="13"/>
      <c r="F117" s="13"/>
      <c r="G117" s="13"/>
      <c r="H117" s="14"/>
      <c r="I117" s="14"/>
      <c r="J117" s="14"/>
      <c r="K117" s="13"/>
      <c r="L117" s="13"/>
    </row>
    <row r="118" customFormat="false" ht="15" hidden="false" customHeight="false" outlineLevel="0" collapsed="false">
      <c r="A118" s="11"/>
      <c r="B118" s="9"/>
      <c r="C118" s="11" t="str">
        <f aca="false">IF(A118="","",IFERROR(VLOOKUP(A118,Inventory!$A:$D,4,0),"—"))</f>
        <v/>
      </c>
      <c r="D118" s="11" t="str">
        <f aca="false">IF(A118="","",IFERROR(VLOOKUP(A118,Inventory!$A:$E,5,0),"—"))</f>
        <v/>
      </c>
      <c r="E118" s="11"/>
      <c r="F118" s="11"/>
      <c r="G118" s="11"/>
      <c r="H118" s="12"/>
      <c r="I118" s="12"/>
      <c r="J118" s="12"/>
      <c r="K118" s="11"/>
      <c r="L118" s="11"/>
    </row>
    <row r="119" customFormat="false" ht="15" hidden="false" customHeight="false" outlineLevel="0" collapsed="false">
      <c r="A119" s="13"/>
      <c r="B119" s="8"/>
      <c r="C119" s="13" t="str">
        <f aca="false">IF(A119="","",IFERROR(VLOOKUP(A119,Inventory!$A:$D,4,0),"—"))</f>
        <v/>
      </c>
      <c r="D119" s="13" t="str">
        <f aca="false">IF(A119="","",IFERROR(VLOOKUP(A119,Inventory!$A:$E,5,0),"—"))</f>
        <v/>
      </c>
      <c r="E119" s="13"/>
      <c r="F119" s="13"/>
      <c r="G119" s="13"/>
      <c r="H119" s="14"/>
      <c r="I119" s="14"/>
      <c r="J119" s="14"/>
      <c r="K119" s="13"/>
      <c r="L119" s="13"/>
    </row>
    <row r="120" customFormat="false" ht="15" hidden="false" customHeight="false" outlineLevel="0" collapsed="false">
      <c r="A120" s="11"/>
      <c r="B120" s="9"/>
      <c r="C120" s="11" t="str">
        <f aca="false">IF(A120="","",IFERROR(VLOOKUP(A120,Inventory!$A:$D,4,0),"—"))</f>
        <v/>
      </c>
      <c r="D120" s="11" t="str">
        <f aca="false">IF(A120="","",IFERROR(VLOOKUP(A120,Inventory!$A:$E,5,0),"—"))</f>
        <v/>
      </c>
      <c r="E120" s="11"/>
      <c r="F120" s="11"/>
      <c r="G120" s="11"/>
      <c r="H120" s="12"/>
      <c r="I120" s="12"/>
      <c r="J120" s="12"/>
      <c r="K120" s="11"/>
      <c r="L120" s="11"/>
    </row>
    <row r="121" customFormat="false" ht="15" hidden="false" customHeight="false" outlineLevel="0" collapsed="false">
      <c r="A121" s="13"/>
      <c r="B121" s="8"/>
      <c r="C121" s="13" t="str">
        <f aca="false">IF(A121="","",IFERROR(VLOOKUP(A121,Inventory!$A:$D,4,0),"—"))</f>
        <v/>
      </c>
      <c r="D121" s="13" t="str">
        <f aca="false">IF(A121="","",IFERROR(VLOOKUP(A121,Inventory!$A:$E,5,0),"—"))</f>
        <v/>
      </c>
      <c r="E121" s="13"/>
      <c r="F121" s="13"/>
      <c r="G121" s="13"/>
      <c r="H121" s="14"/>
      <c r="I121" s="14"/>
      <c r="J121" s="14"/>
      <c r="K121" s="13"/>
      <c r="L121" s="13"/>
    </row>
    <row r="122" customFormat="false" ht="15" hidden="false" customHeight="false" outlineLevel="0" collapsed="false">
      <c r="A122" s="11"/>
      <c r="B122" s="9"/>
      <c r="C122" s="11" t="str">
        <f aca="false">IF(A122="","",IFERROR(VLOOKUP(A122,Inventory!$A:$D,4,0),"—"))</f>
        <v/>
      </c>
      <c r="D122" s="11" t="str">
        <f aca="false">IF(A122="","",IFERROR(VLOOKUP(A122,Inventory!$A:$E,5,0),"—"))</f>
        <v/>
      </c>
      <c r="E122" s="11"/>
      <c r="F122" s="11"/>
      <c r="G122" s="11"/>
      <c r="H122" s="12"/>
      <c r="I122" s="12"/>
      <c r="J122" s="12"/>
      <c r="K122" s="11"/>
      <c r="L122" s="11"/>
    </row>
    <row r="123" customFormat="false" ht="15" hidden="false" customHeight="false" outlineLevel="0" collapsed="false">
      <c r="A123" s="13"/>
      <c r="B123" s="8"/>
      <c r="C123" s="13" t="str">
        <f aca="false">IF(A123="","",IFERROR(VLOOKUP(A123,Inventory!$A:$D,4,0),"—"))</f>
        <v/>
      </c>
      <c r="D123" s="13" t="str">
        <f aca="false">IF(A123="","",IFERROR(VLOOKUP(A123,Inventory!$A:$E,5,0),"—"))</f>
        <v/>
      </c>
      <c r="E123" s="13"/>
      <c r="F123" s="13"/>
      <c r="G123" s="13"/>
      <c r="H123" s="14"/>
      <c r="I123" s="14"/>
      <c r="J123" s="14"/>
      <c r="K123" s="13"/>
      <c r="L123" s="13"/>
    </row>
    <row r="124" customFormat="false" ht="15" hidden="false" customHeight="false" outlineLevel="0" collapsed="false">
      <c r="A124" s="11"/>
      <c r="B124" s="9"/>
      <c r="C124" s="11" t="str">
        <f aca="false">IF(A124="","",IFERROR(VLOOKUP(A124,Inventory!$A:$D,4,0),"—"))</f>
        <v/>
      </c>
      <c r="D124" s="11" t="str">
        <f aca="false">IF(A124="","",IFERROR(VLOOKUP(A124,Inventory!$A:$E,5,0),"—"))</f>
        <v/>
      </c>
      <c r="E124" s="11"/>
      <c r="F124" s="11"/>
      <c r="G124" s="11"/>
      <c r="H124" s="12"/>
      <c r="I124" s="12"/>
      <c r="J124" s="12"/>
      <c r="K124" s="11"/>
      <c r="L124" s="11"/>
    </row>
    <row r="125" customFormat="false" ht="15" hidden="false" customHeight="false" outlineLevel="0" collapsed="false">
      <c r="A125" s="13"/>
      <c r="B125" s="8"/>
      <c r="C125" s="13" t="str">
        <f aca="false">IF(A125="","",IFERROR(VLOOKUP(A125,Inventory!$A:$D,4,0),"—"))</f>
        <v/>
      </c>
      <c r="D125" s="13" t="str">
        <f aca="false">IF(A125="","",IFERROR(VLOOKUP(A125,Inventory!$A:$E,5,0),"—"))</f>
        <v/>
      </c>
      <c r="E125" s="13"/>
      <c r="F125" s="13"/>
      <c r="G125" s="13"/>
      <c r="H125" s="14"/>
      <c r="I125" s="14"/>
      <c r="J125" s="14"/>
      <c r="K125" s="13"/>
      <c r="L125" s="13"/>
    </row>
    <row r="126" customFormat="false" ht="15" hidden="false" customHeight="false" outlineLevel="0" collapsed="false">
      <c r="A126" s="11"/>
      <c r="B126" s="9"/>
      <c r="C126" s="11" t="str">
        <f aca="false">IF(A126="","",IFERROR(VLOOKUP(A126,Inventory!$A:$D,4,0),"—"))</f>
        <v/>
      </c>
      <c r="D126" s="11" t="str">
        <f aca="false">IF(A126="","",IFERROR(VLOOKUP(A126,Inventory!$A:$E,5,0),"—"))</f>
        <v/>
      </c>
      <c r="E126" s="11"/>
      <c r="F126" s="11"/>
      <c r="G126" s="11"/>
      <c r="H126" s="12"/>
      <c r="I126" s="12"/>
      <c r="J126" s="12"/>
      <c r="K126" s="11"/>
      <c r="L126" s="11"/>
    </row>
    <row r="127" customFormat="false" ht="15" hidden="false" customHeight="false" outlineLevel="0" collapsed="false">
      <c r="A127" s="13"/>
      <c r="B127" s="8"/>
      <c r="C127" s="13" t="str">
        <f aca="false">IF(A127="","",IFERROR(VLOOKUP(A127,Inventory!$A:$D,4,0),"—"))</f>
        <v/>
      </c>
      <c r="D127" s="13" t="str">
        <f aca="false">IF(A127="","",IFERROR(VLOOKUP(A127,Inventory!$A:$E,5,0),"—"))</f>
        <v/>
      </c>
      <c r="E127" s="13"/>
      <c r="F127" s="13"/>
      <c r="G127" s="13"/>
      <c r="H127" s="14"/>
      <c r="I127" s="14"/>
      <c r="J127" s="14"/>
      <c r="K127" s="13"/>
      <c r="L127" s="13"/>
    </row>
    <row r="128" customFormat="false" ht="15" hidden="false" customHeight="false" outlineLevel="0" collapsed="false">
      <c r="A128" s="11"/>
      <c r="B128" s="9"/>
      <c r="C128" s="11" t="str">
        <f aca="false">IF(A128="","",IFERROR(VLOOKUP(A128,Inventory!$A:$D,4,0),"—"))</f>
        <v/>
      </c>
      <c r="D128" s="11" t="str">
        <f aca="false">IF(A128="","",IFERROR(VLOOKUP(A128,Inventory!$A:$E,5,0),"—"))</f>
        <v/>
      </c>
      <c r="E128" s="11"/>
      <c r="F128" s="11"/>
      <c r="G128" s="11"/>
      <c r="H128" s="12"/>
      <c r="I128" s="12"/>
      <c r="J128" s="12"/>
      <c r="K128" s="11"/>
      <c r="L128" s="11"/>
    </row>
    <row r="129" customFormat="false" ht="15" hidden="false" customHeight="false" outlineLevel="0" collapsed="false">
      <c r="A129" s="13"/>
      <c r="B129" s="8"/>
      <c r="C129" s="13" t="str">
        <f aca="false">IF(A129="","",IFERROR(VLOOKUP(A129,Inventory!$A:$D,4,0),"—"))</f>
        <v/>
      </c>
      <c r="D129" s="13" t="str">
        <f aca="false">IF(A129="","",IFERROR(VLOOKUP(A129,Inventory!$A:$E,5,0),"—"))</f>
        <v/>
      </c>
      <c r="E129" s="13"/>
      <c r="F129" s="13"/>
      <c r="G129" s="13"/>
      <c r="H129" s="14"/>
      <c r="I129" s="14"/>
      <c r="J129" s="14"/>
      <c r="K129" s="13"/>
      <c r="L129" s="13"/>
    </row>
    <row r="130" customFormat="false" ht="15" hidden="false" customHeight="false" outlineLevel="0" collapsed="false">
      <c r="A130" s="11"/>
      <c r="B130" s="9"/>
      <c r="C130" s="11" t="str">
        <f aca="false">IF(A130="","",IFERROR(VLOOKUP(A130,Inventory!$A:$D,4,0),"—"))</f>
        <v/>
      </c>
      <c r="D130" s="11" t="str">
        <f aca="false">IF(A130="","",IFERROR(VLOOKUP(A130,Inventory!$A:$E,5,0),"—"))</f>
        <v/>
      </c>
      <c r="E130" s="11"/>
      <c r="F130" s="11"/>
      <c r="G130" s="11"/>
      <c r="H130" s="12"/>
      <c r="I130" s="12"/>
      <c r="J130" s="12"/>
      <c r="K130" s="11"/>
      <c r="L130" s="11"/>
    </row>
    <row r="131" customFormat="false" ht="15" hidden="false" customHeight="false" outlineLevel="0" collapsed="false">
      <c r="A131" s="13"/>
      <c r="B131" s="8"/>
      <c r="C131" s="13" t="str">
        <f aca="false">IF(A131="","",IFERROR(VLOOKUP(A131,Inventory!$A:$D,4,0),"—"))</f>
        <v/>
      </c>
      <c r="D131" s="13" t="str">
        <f aca="false">IF(A131="","",IFERROR(VLOOKUP(A131,Inventory!$A:$E,5,0),"—"))</f>
        <v/>
      </c>
      <c r="E131" s="13"/>
      <c r="F131" s="13"/>
      <c r="G131" s="13"/>
      <c r="H131" s="14"/>
      <c r="I131" s="14"/>
      <c r="J131" s="14"/>
      <c r="K131" s="13"/>
      <c r="L131" s="13"/>
    </row>
    <row r="132" customFormat="false" ht="15" hidden="false" customHeight="false" outlineLevel="0" collapsed="false">
      <c r="A132" s="11"/>
      <c r="B132" s="9"/>
      <c r="C132" s="11" t="str">
        <f aca="false">IF(A132="","",IFERROR(VLOOKUP(A132,Inventory!$A:$D,4,0),"—"))</f>
        <v/>
      </c>
      <c r="D132" s="11" t="str">
        <f aca="false">IF(A132="","",IFERROR(VLOOKUP(A132,Inventory!$A:$E,5,0),"—"))</f>
        <v/>
      </c>
      <c r="E132" s="11"/>
      <c r="F132" s="11"/>
      <c r="G132" s="11"/>
      <c r="H132" s="12"/>
      <c r="I132" s="12"/>
      <c r="J132" s="12"/>
      <c r="K132" s="11"/>
      <c r="L132" s="11"/>
    </row>
    <row r="133" customFormat="false" ht="15" hidden="false" customHeight="false" outlineLevel="0" collapsed="false">
      <c r="A133" s="13"/>
      <c r="B133" s="8"/>
      <c r="C133" s="13" t="str">
        <f aca="false">IF(A133="","",IFERROR(VLOOKUP(A133,Inventory!$A:$D,4,0),"—"))</f>
        <v/>
      </c>
      <c r="D133" s="13" t="str">
        <f aca="false">IF(A133="","",IFERROR(VLOOKUP(A133,Inventory!$A:$E,5,0),"—"))</f>
        <v/>
      </c>
      <c r="E133" s="13"/>
      <c r="F133" s="13"/>
      <c r="G133" s="13"/>
      <c r="H133" s="14"/>
      <c r="I133" s="14"/>
      <c r="J133" s="14"/>
      <c r="K133" s="13"/>
      <c r="L133" s="13"/>
    </row>
    <row r="134" customFormat="false" ht="15" hidden="false" customHeight="false" outlineLevel="0" collapsed="false">
      <c r="A134" s="11"/>
      <c r="B134" s="9"/>
      <c r="C134" s="11" t="str">
        <f aca="false">IF(A134="","",IFERROR(VLOOKUP(A134,Inventory!$A:$D,4,0),"—"))</f>
        <v/>
      </c>
      <c r="D134" s="11" t="str">
        <f aca="false">IF(A134="","",IFERROR(VLOOKUP(A134,Inventory!$A:$E,5,0),"—"))</f>
        <v/>
      </c>
      <c r="E134" s="11"/>
      <c r="F134" s="11"/>
      <c r="G134" s="11"/>
      <c r="H134" s="12"/>
      <c r="I134" s="12"/>
      <c r="J134" s="12"/>
      <c r="K134" s="11"/>
      <c r="L134" s="11"/>
    </row>
    <row r="135" customFormat="false" ht="15" hidden="false" customHeight="false" outlineLevel="0" collapsed="false">
      <c r="A135" s="13"/>
      <c r="B135" s="8"/>
      <c r="C135" s="13" t="str">
        <f aca="false">IF(A135="","",IFERROR(VLOOKUP(A135,Inventory!$A:$D,4,0),"—"))</f>
        <v/>
      </c>
      <c r="D135" s="13" t="str">
        <f aca="false">IF(A135="","",IFERROR(VLOOKUP(A135,Inventory!$A:$E,5,0),"—"))</f>
        <v/>
      </c>
      <c r="E135" s="13"/>
      <c r="F135" s="13"/>
      <c r="G135" s="13"/>
      <c r="H135" s="14"/>
      <c r="I135" s="14"/>
      <c r="J135" s="14"/>
      <c r="K135" s="13"/>
      <c r="L135" s="13"/>
    </row>
    <row r="136" customFormat="false" ht="15" hidden="false" customHeight="false" outlineLevel="0" collapsed="false">
      <c r="A136" s="11"/>
      <c r="B136" s="9"/>
      <c r="C136" s="11" t="str">
        <f aca="false">IF(A136="","",IFERROR(VLOOKUP(A136,Inventory!$A:$D,4,0),"—"))</f>
        <v/>
      </c>
      <c r="D136" s="11" t="str">
        <f aca="false">IF(A136="","",IFERROR(VLOOKUP(A136,Inventory!$A:$E,5,0),"—"))</f>
        <v/>
      </c>
      <c r="E136" s="11"/>
      <c r="F136" s="11"/>
      <c r="G136" s="11"/>
      <c r="H136" s="12"/>
      <c r="I136" s="12"/>
      <c r="J136" s="12"/>
      <c r="K136" s="11"/>
      <c r="L136" s="11"/>
    </row>
    <row r="137" customFormat="false" ht="15" hidden="false" customHeight="false" outlineLevel="0" collapsed="false">
      <c r="A137" s="13"/>
      <c r="B137" s="8"/>
      <c r="C137" s="13" t="str">
        <f aca="false">IF(A137="","",IFERROR(VLOOKUP(A137,Inventory!$A:$D,4,0),"—"))</f>
        <v/>
      </c>
      <c r="D137" s="13" t="str">
        <f aca="false">IF(A137="","",IFERROR(VLOOKUP(A137,Inventory!$A:$E,5,0),"—"))</f>
        <v/>
      </c>
      <c r="E137" s="13"/>
      <c r="F137" s="13"/>
      <c r="G137" s="13"/>
      <c r="H137" s="14"/>
      <c r="I137" s="14"/>
      <c r="J137" s="14"/>
      <c r="K137" s="13"/>
      <c r="L137" s="13"/>
    </row>
    <row r="138" customFormat="false" ht="15" hidden="false" customHeight="false" outlineLevel="0" collapsed="false">
      <c r="A138" s="11"/>
      <c r="B138" s="9"/>
      <c r="C138" s="11" t="str">
        <f aca="false">IF(A138="","",IFERROR(VLOOKUP(A138,Inventory!$A:$D,4,0),"—"))</f>
        <v/>
      </c>
      <c r="D138" s="11" t="str">
        <f aca="false">IF(A138="","",IFERROR(VLOOKUP(A138,Inventory!$A:$E,5,0),"—"))</f>
        <v/>
      </c>
      <c r="E138" s="11"/>
      <c r="F138" s="11"/>
      <c r="G138" s="11"/>
      <c r="H138" s="12"/>
      <c r="I138" s="12"/>
      <c r="J138" s="12"/>
      <c r="K138" s="11"/>
      <c r="L138" s="11"/>
    </row>
    <row r="139" customFormat="false" ht="15" hidden="false" customHeight="false" outlineLevel="0" collapsed="false">
      <c r="A139" s="13"/>
      <c r="B139" s="8"/>
      <c r="C139" s="13" t="str">
        <f aca="false">IF(A139="","",IFERROR(VLOOKUP(A139,Inventory!$A:$D,4,0),"—"))</f>
        <v/>
      </c>
      <c r="D139" s="13" t="str">
        <f aca="false">IF(A139="","",IFERROR(VLOOKUP(A139,Inventory!$A:$E,5,0),"—"))</f>
        <v/>
      </c>
      <c r="E139" s="13"/>
      <c r="F139" s="13"/>
      <c r="G139" s="13"/>
      <c r="H139" s="14"/>
      <c r="I139" s="14"/>
      <c r="J139" s="14"/>
      <c r="K139" s="13"/>
      <c r="L139" s="13"/>
    </row>
    <row r="140" customFormat="false" ht="15" hidden="false" customHeight="false" outlineLevel="0" collapsed="false">
      <c r="A140" s="11"/>
      <c r="B140" s="9"/>
      <c r="C140" s="11" t="str">
        <f aca="false">IF(A140="","",IFERROR(VLOOKUP(A140,Inventory!$A:$D,4,0),"—"))</f>
        <v/>
      </c>
      <c r="D140" s="11" t="str">
        <f aca="false">IF(A140="","",IFERROR(VLOOKUP(A140,Inventory!$A:$E,5,0),"—"))</f>
        <v/>
      </c>
      <c r="E140" s="11"/>
      <c r="F140" s="11"/>
      <c r="G140" s="11"/>
      <c r="H140" s="12"/>
      <c r="I140" s="12"/>
      <c r="J140" s="12"/>
      <c r="K140" s="11"/>
      <c r="L140" s="11"/>
    </row>
    <row r="141" customFormat="false" ht="15" hidden="false" customHeight="false" outlineLevel="0" collapsed="false">
      <c r="A141" s="13"/>
      <c r="B141" s="8"/>
      <c r="C141" s="13" t="str">
        <f aca="false">IF(A141="","",IFERROR(VLOOKUP(A141,Inventory!$A:$D,4,0),"—"))</f>
        <v/>
      </c>
      <c r="D141" s="13" t="str">
        <f aca="false">IF(A141="","",IFERROR(VLOOKUP(A141,Inventory!$A:$E,5,0),"—"))</f>
        <v/>
      </c>
      <c r="E141" s="13"/>
      <c r="F141" s="13"/>
      <c r="G141" s="13"/>
      <c r="H141" s="14"/>
      <c r="I141" s="14"/>
      <c r="J141" s="14"/>
      <c r="K141" s="13"/>
      <c r="L141" s="13"/>
    </row>
    <row r="142" customFormat="false" ht="15" hidden="false" customHeight="false" outlineLevel="0" collapsed="false">
      <c r="A142" s="11"/>
      <c r="B142" s="9"/>
      <c r="C142" s="11" t="str">
        <f aca="false">IF(A142="","",IFERROR(VLOOKUP(A142,Inventory!$A:$D,4,0),"—"))</f>
        <v/>
      </c>
      <c r="D142" s="11" t="str">
        <f aca="false">IF(A142="","",IFERROR(VLOOKUP(A142,Inventory!$A:$E,5,0),"—"))</f>
        <v/>
      </c>
      <c r="E142" s="11"/>
      <c r="F142" s="11"/>
      <c r="G142" s="11"/>
      <c r="H142" s="12"/>
      <c r="I142" s="12"/>
      <c r="J142" s="12"/>
      <c r="K142" s="11"/>
      <c r="L142" s="11"/>
    </row>
    <row r="143" customFormat="false" ht="15" hidden="false" customHeight="false" outlineLevel="0" collapsed="false">
      <c r="A143" s="13"/>
      <c r="B143" s="8"/>
      <c r="C143" s="13" t="str">
        <f aca="false">IF(A143="","",IFERROR(VLOOKUP(A143,Inventory!$A:$D,4,0),"—"))</f>
        <v/>
      </c>
      <c r="D143" s="13" t="str">
        <f aca="false">IF(A143="","",IFERROR(VLOOKUP(A143,Inventory!$A:$E,5,0),"—"))</f>
        <v/>
      </c>
      <c r="E143" s="13"/>
      <c r="F143" s="13"/>
      <c r="G143" s="13"/>
      <c r="H143" s="14"/>
      <c r="I143" s="14"/>
      <c r="J143" s="14"/>
      <c r="K143" s="13"/>
      <c r="L143" s="13"/>
    </row>
    <row r="144" customFormat="false" ht="15" hidden="false" customHeight="false" outlineLevel="0" collapsed="false">
      <c r="A144" s="11"/>
      <c r="B144" s="9"/>
      <c r="C144" s="11" t="str">
        <f aca="false">IF(A144="","",IFERROR(VLOOKUP(A144,Inventory!$A:$D,4,0),"—"))</f>
        <v/>
      </c>
      <c r="D144" s="11" t="str">
        <f aca="false">IF(A144="","",IFERROR(VLOOKUP(A144,Inventory!$A:$E,5,0),"—"))</f>
        <v/>
      </c>
      <c r="E144" s="11"/>
      <c r="F144" s="11"/>
      <c r="G144" s="11"/>
      <c r="H144" s="12"/>
      <c r="I144" s="12"/>
      <c r="J144" s="12"/>
      <c r="K144" s="11"/>
      <c r="L144" s="11"/>
    </row>
    <row r="145" customFormat="false" ht="15" hidden="false" customHeight="false" outlineLevel="0" collapsed="false">
      <c r="A145" s="13"/>
      <c r="B145" s="8"/>
      <c r="C145" s="13" t="str">
        <f aca="false">IF(A145="","",IFERROR(VLOOKUP(A145,Inventory!$A:$D,4,0),"—"))</f>
        <v/>
      </c>
      <c r="D145" s="13" t="str">
        <f aca="false">IF(A145="","",IFERROR(VLOOKUP(A145,Inventory!$A:$E,5,0),"—"))</f>
        <v/>
      </c>
      <c r="E145" s="13"/>
      <c r="F145" s="13"/>
      <c r="G145" s="13"/>
      <c r="H145" s="14"/>
      <c r="I145" s="14"/>
      <c r="J145" s="14"/>
      <c r="K145" s="13"/>
      <c r="L145" s="13"/>
    </row>
    <row r="146" customFormat="false" ht="15" hidden="false" customHeight="false" outlineLevel="0" collapsed="false">
      <c r="A146" s="11"/>
      <c r="B146" s="9"/>
      <c r="C146" s="11" t="str">
        <f aca="false">IF(A146="","",IFERROR(VLOOKUP(A146,Inventory!$A:$D,4,0),"—"))</f>
        <v/>
      </c>
      <c r="D146" s="11" t="str">
        <f aca="false">IF(A146="","",IFERROR(VLOOKUP(A146,Inventory!$A:$E,5,0),"—"))</f>
        <v/>
      </c>
      <c r="E146" s="11"/>
      <c r="F146" s="11"/>
      <c r="G146" s="11"/>
      <c r="H146" s="12"/>
      <c r="I146" s="12"/>
      <c r="J146" s="12"/>
      <c r="K146" s="11"/>
      <c r="L146" s="11"/>
    </row>
    <row r="147" customFormat="false" ht="15" hidden="false" customHeight="false" outlineLevel="0" collapsed="false">
      <c r="A147" s="13"/>
      <c r="B147" s="8"/>
      <c r="C147" s="13" t="str">
        <f aca="false">IF(A147="","",IFERROR(VLOOKUP(A147,Inventory!$A:$D,4,0),"—"))</f>
        <v/>
      </c>
      <c r="D147" s="13" t="str">
        <f aca="false">IF(A147="","",IFERROR(VLOOKUP(A147,Inventory!$A:$E,5,0),"—"))</f>
        <v/>
      </c>
      <c r="E147" s="13"/>
      <c r="F147" s="13"/>
      <c r="G147" s="13"/>
      <c r="H147" s="14"/>
      <c r="I147" s="14"/>
      <c r="J147" s="14"/>
      <c r="K147" s="13"/>
      <c r="L147" s="13"/>
    </row>
    <row r="148" customFormat="false" ht="15" hidden="false" customHeight="false" outlineLevel="0" collapsed="false">
      <c r="A148" s="11"/>
      <c r="B148" s="9"/>
      <c r="C148" s="11" t="str">
        <f aca="false">IF(A148="","",IFERROR(VLOOKUP(A148,Inventory!$A:$D,4,0),"—"))</f>
        <v/>
      </c>
      <c r="D148" s="11" t="str">
        <f aca="false">IF(A148="","",IFERROR(VLOOKUP(A148,Inventory!$A:$E,5,0),"—"))</f>
        <v/>
      </c>
      <c r="E148" s="11"/>
      <c r="F148" s="11"/>
      <c r="G148" s="11"/>
      <c r="H148" s="12"/>
      <c r="I148" s="12"/>
      <c r="J148" s="12"/>
      <c r="K148" s="11"/>
      <c r="L148" s="11"/>
    </row>
    <row r="149" customFormat="false" ht="15" hidden="false" customHeight="false" outlineLevel="0" collapsed="false">
      <c r="A149" s="13"/>
      <c r="B149" s="8"/>
      <c r="C149" s="13" t="str">
        <f aca="false">IF(A149="","",IFERROR(VLOOKUP(A149,Inventory!$A:$D,4,0),"—"))</f>
        <v/>
      </c>
      <c r="D149" s="13" t="str">
        <f aca="false">IF(A149="","",IFERROR(VLOOKUP(A149,Inventory!$A:$E,5,0),"—"))</f>
        <v/>
      </c>
      <c r="E149" s="13"/>
      <c r="F149" s="13"/>
      <c r="G149" s="13"/>
      <c r="H149" s="14"/>
      <c r="I149" s="14"/>
      <c r="J149" s="14"/>
      <c r="K149" s="13"/>
      <c r="L149" s="13"/>
    </row>
    <row r="150" customFormat="false" ht="15" hidden="false" customHeight="false" outlineLevel="0" collapsed="false">
      <c r="A150" s="11"/>
      <c r="B150" s="9"/>
      <c r="C150" s="11" t="str">
        <f aca="false">IF(A150="","",IFERROR(VLOOKUP(A150,Inventory!$A:$D,4,0),"—"))</f>
        <v/>
      </c>
      <c r="D150" s="11" t="str">
        <f aca="false">IF(A150="","",IFERROR(VLOOKUP(A150,Inventory!$A:$E,5,0),"—"))</f>
        <v/>
      </c>
      <c r="E150" s="11"/>
      <c r="F150" s="11"/>
      <c r="G150" s="11"/>
      <c r="H150" s="12"/>
      <c r="I150" s="12"/>
      <c r="J150" s="12"/>
      <c r="K150" s="11"/>
      <c r="L150" s="11"/>
    </row>
    <row r="151" customFormat="false" ht="15" hidden="false" customHeight="false" outlineLevel="0" collapsed="false">
      <c r="A151" s="13"/>
      <c r="B151" s="8"/>
      <c r="C151" s="13" t="str">
        <f aca="false">IF(A151="","",IFERROR(VLOOKUP(A151,Inventory!$A:$D,4,0),"—"))</f>
        <v/>
      </c>
      <c r="D151" s="13" t="str">
        <f aca="false">IF(A151="","",IFERROR(VLOOKUP(A151,Inventory!$A:$E,5,0),"—"))</f>
        <v/>
      </c>
      <c r="E151" s="13"/>
      <c r="F151" s="13"/>
      <c r="G151" s="13"/>
      <c r="H151" s="14"/>
      <c r="I151" s="14"/>
      <c r="J151" s="14"/>
      <c r="K151" s="13"/>
      <c r="L151" s="13"/>
    </row>
    <row r="152" customFormat="false" ht="15" hidden="false" customHeight="false" outlineLevel="0" collapsed="false">
      <c r="A152" s="11"/>
      <c r="B152" s="9"/>
      <c r="C152" s="11" t="str">
        <f aca="false">IF(A152="","",IFERROR(VLOOKUP(A152,Inventory!$A:$D,4,0),"—"))</f>
        <v/>
      </c>
      <c r="D152" s="11" t="str">
        <f aca="false">IF(A152="","",IFERROR(VLOOKUP(A152,Inventory!$A:$E,5,0),"—"))</f>
        <v/>
      </c>
      <c r="E152" s="11"/>
      <c r="F152" s="11"/>
      <c r="G152" s="11"/>
      <c r="H152" s="12"/>
      <c r="I152" s="12"/>
      <c r="J152" s="12"/>
      <c r="K152" s="11"/>
      <c r="L152" s="11"/>
    </row>
    <row r="153" customFormat="false" ht="15" hidden="false" customHeight="false" outlineLevel="0" collapsed="false">
      <c r="A153" s="13"/>
      <c r="B153" s="8"/>
      <c r="C153" s="13" t="str">
        <f aca="false">IF(A153="","",IFERROR(VLOOKUP(A153,Inventory!$A:$D,4,0),"—"))</f>
        <v/>
      </c>
      <c r="D153" s="13" t="str">
        <f aca="false">IF(A153="","",IFERROR(VLOOKUP(A153,Inventory!$A:$E,5,0),"—"))</f>
        <v/>
      </c>
      <c r="E153" s="13"/>
      <c r="F153" s="13"/>
      <c r="G153" s="13"/>
      <c r="H153" s="14"/>
      <c r="I153" s="14"/>
      <c r="J153" s="14"/>
      <c r="K153" s="13"/>
      <c r="L153" s="13"/>
    </row>
    <row r="154" customFormat="false" ht="15" hidden="false" customHeight="false" outlineLevel="0" collapsed="false">
      <c r="A154" s="11"/>
      <c r="B154" s="9"/>
      <c r="C154" s="11" t="str">
        <f aca="false">IF(A154="","",IFERROR(VLOOKUP(A154,Inventory!$A:$D,4,0),"—"))</f>
        <v/>
      </c>
      <c r="D154" s="11" t="str">
        <f aca="false">IF(A154="","",IFERROR(VLOOKUP(A154,Inventory!$A:$E,5,0),"—"))</f>
        <v/>
      </c>
      <c r="E154" s="11"/>
      <c r="F154" s="11"/>
      <c r="G154" s="11"/>
      <c r="H154" s="12"/>
      <c r="I154" s="12"/>
      <c r="J154" s="12"/>
      <c r="K154" s="11"/>
      <c r="L154" s="11"/>
    </row>
    <row r="155" customFormat="false" ht="15" hidden="false" customHeight="false" outlineLevel="0" collapsed="false">
      <c r="A155" s="13"/>
      <c r="B155" s="8"/>
      <c r="C155" s="13" t="str">
        <f aca="false">IF(A155="","",IFERROR(VLOOKUP(A155,Inventory!$A:$D,4,0),"—"))</f>
        <v/>
      </c>
      <c r="D155" s="13" t="str">
        <f aca="false">IF(A155="","",IFERROR(VLOOKUP(A155,Inventory!$A:$E,5,0),"—"))</f>
        <v/>
      </c>
      <c r="E155" s="13"/>
      <c r="F155" s="13"/>
      <c r="G155" s="13"/>
      <c r="H155" s="14"/>
      <c r="I155" s="14"/>
      <c r="J155" s="14"/>
      <c r="K155" s="13"/>
      <c r="L155" s="13"/>
    </row>
    <row r="156" customFormat="false" ht="15" hidden="false" customHeight="false" outlineLevel="0" collapsed="false">
      <c r="A156" s="11"/>
      <c r="B156" s="9"/>
      <c r="C156" s="11" t="str">
        <f aca="false">IF(A156="","",IFERROR(VLOOKUP(A156,Inventory!$A:$D,4,0),"—"))</f>
        <v/>
      </c>
      <c r="D156" s="11" t="str">
        <f aca="false">IF(A156="","",IFERROR(VLOOKUP(A156,Inventory!$A:$E,5,0),"—"))</f>
        <v/>
      </c>
      <c r="E156" s="11"/>
      <c r="F156" s="11"/>
      <c r="G156" s="11"/>
      <c r="H156" s="12"/>
      <c r="I156" s="12"/>
      <c r="J156" s="12"/>
      <c r="K156" s="11"/>
      <c r="L156" s="11"/>
    </row>
    <row r="157" customFormat="false" ht="15" hidden="false" customHeight="false" outlineLevel="0" collapsed="false">
      <c r="A157" s="13"/>
      <c r="B157" s="8"/>
      <c r="C157" s="13" t="str">
        <f aca="false">IF(A157="","",IFERROR(VLOOKUP(A157,Inventory!$A:$D,4,0),"—"))</f>
        <v/>
      </c>
      <c r="D157" s="13" t="str">
        <f aca="false">IF(A157="","",IFERROR(VLOOKUP(A157,Inventory!$A:$E,5,0),"—"))</f>
        <v/>
      </c>
      <c r="E157" s="13"/>
      <c r="F157" s="13"/>
      <c r="G157" s="13"/>
      <c r="H157" s="14"/>
      <c r="I157" s="14"/>
      <c r="J157" s="14"/>
      <c r="K157" s="13"/>
      <c r="L157" s="13"/>
    </row>
    <row r="158" customFormat="false" ht="15" hidden="false" customHeight="false" outlineLevel="0" collapsed="false">
      <c r="A158" s="11"/>
      <c r="B158" s="9"/>
      <c r="C158" s="11" t="str">
        <f aca="false">IF(A158="","",IFERROR(VLOOKUP(A158,Inventory!$A:$D,4,0),"—"))</f>
        <v/>
      </c>
      <c r="D158" s="11" t="str">
        <f aca="false">IF(A158="","",IFERROR(VLOOKUP(A158,Inventory!$A:$E,5,0),"—"))</f>
        <v/>
      </c>
      <c r="E158" s="11"/>
      <c r="F158" s="11"/>
      <c r="G158" s="11"/>
      <c r="H158" s="12"/>
      <c r="I158" s="12"/>
      <c r="J158" s="12"/>
      <c r="K158" s="11"/>
      <c r="L158" s="11"/>
    </row>
    <row r="159" customFormat="false" ht="15" hidden="false" customHeight="false" outlineLevel="0" collapsed="false">
      <c r="A159" s="13"/>
      <c r="B159" s="8"/>
      <c r="C159" s="13" t="str">
        <f aca="false">IF(A159="","",IFERROR(VLOOKUP(A159,Inventory!$A:$D,4,0),"—"))</f>
        <v/>
      </c>
      <c r="D159" s="13" t="str">
        <f aca="false">IF(A159="","",IFERROR(VLOOKUP(A159,Inventory!$A:$E,5,0),"—"))</f>
        <v/>
      </c>
      <c r="E159" s="13"/>
      <c r="F159" s="13"/>
      <c r="G159" s="13"/>
      <c r="H159" s="14"/>
      <c r="I159" s="14"/>
      <c r="J159" s="14"/>
      <c r="K159" s="13"/>
      <c r="L159" s="13"/>
    </row>
    <row r="160" customFormat="false" ht="15" hidden="false" customHeight="false" outlineLevel="0" collapsed="false">
      <c r="A160" s="11"/>
      <c r="B160" s="9"/>
      <c r="C160" s="11" t="str">
        <f aca="false">IF(A160="","",IFERROR(VLOOKUP(A160,Inventory!$A:$D,4,0),"—"))</f>
        <v/>
      </c>
      <c r="D160" s="11" t="str">
        <f aca="false">IF(A160="","",IFERROR(VLOOKUP(A160,Inventory!$A:$E,5,0),"—"))</f>
        <v/>
      </c>
      <c r="E160" s="11"/>
      <c r="F160" s="11"/>
      <c r="G160" s="11"/>
      <c r="H160" s="12"/>
      <c r="I160" s="12"/>
      <c r="J160" s="12"/>
      <c r="K160" s="11"/>
      <c r="L160" s="11"/>
    </row>
    <row r="161" customFormat="false" ht="15" hidden="false" customHeight="false" outlineLevel="0" collapsed="false">
      <c r="A161" s="13"/>
      <c r="B161" s="8"/>
      <c r="C161" s="13" t="str">
        <f aca="false">IF(A161="","",IFERROR(VLOOKUP(A161,Inventory!$A:$D,4,0),"—"))</f>
        <v/>
      </c>
      <c r="D161" s="13" t="str">
        <f aca="false">IF(A161="","",IFERROR(VLOOKUP(A161,Inventory!$A:$E,5,0),"—"))</f>
        <v/>
      </c>
      <c r="E161" s="13"/>
      <c r="F161" s="13"/>
      <c r="G161" s="13"/>
      <c r="H161" s="14"/>
      <c r="I161" s="14"/>
      <c r="J161" s="14"/>
      <c r="K161" s="13"/>
      <c r="L161" s="13"/>
    </row>
    <row r="162" customFormat="false" ht="15" hidden="false" customHeight="false" outlineLevel="0" collapsed="false">
      <c r="A162" s="11"/>
      <c r="B162" s="9"/>
      <c r="C162" s="11" t="str">
        <f aca="false">IF(A162="","",IFERROR(VLOOKUP(A162,Inventory!$A:$D,4,0),"—"))</f>
        <v/>
      </c>
      <c r="D162" s="11" t="str">
        <f aca="false">IF(A162="","",IFERROR(VLOOKUP(A162,Inventory!$A:$E,5,0),"—"))</f>
        <v/>
      </c>
      <c r="E162" s="11"/>
      <c r="F162" s="11"/>
      <c r="G162" s="11"/>
      <c r="H162" s="12"/>
      <c r="I162" s="12"/>
      <c r="J162" s="12"/>
      <c r="K162" s="11"/>
      <c r="L162" s="11"/>
    </row>
    <row r="163" customFormat="false" ht="15" hidden="false" customHeight="false" outlineLevel="0" collapsed="false">
      <c r="A163" s="13"/>
      <c r="B163" s="8"/>
      <c r="C163" s="13" t="str">
        <f aca="false">IF(A163="","",IFERROR(VLOOKUP(A163,Inventory!$A:$D,4,0),"—"))</f>
        <v/>
      </c>
      <c r="D163" s="13" t="str">
        <f aca="false">IF(A163="","",IFERROR(VLOOKUP(A163,Inventory!$A:$E,5,0),"—"))</f>
        <v/>
      </c>
      <c r="E163" s="13"/>
      <c r="F163" s="13"/>
      <c r="G163" s="13"/>
      <c r="H163" s="14"/>
      <c r="I163" s="14"/>
      <c r="J163" s="14"/>
      <c r="K163" s="13"/>
      <c r="L163" s="13"/>
    </row>
    <row r="164" customFormat="false" ht="15" hidden="false" customHeight="false" outlineLevel="0" collapsed="false">
      <c r="A164" s="11"/>
      <c r="B164" s="9"/>
      <c r="C164" s="11" t="str">
        <f aca="false">IF(A164="","",IFERROR(VLOOKUP(A164,Inventory!$A:$D,4,0),"—"))</f>
        <v/>
      </c>
      <c r="D164" s="11" t="str">
        <f aca="false">IF(A164="","",IFERROR(VLOOKUP(A164,Inventory!$A:$E,5,0),"—"))</f>
        <v/>
      </c>
      <c r="E164" s="11"/>
      <c r="F164" s="11"/>
      <c r="G164" s="11"/>
      <c r="H164" s="12"/>
      <c r="I164" s="12"/>
      <c r="J164" s="12"/>
      <c r="K164" s="11"/>
      <c r="L164" s="11"/>
    </row>
    <row r="165" customFormat="false" ht="15" hidden="false" customHeight="false" outlineLevel="0" collapsed="false">
      <c r="A165" s="13"/>
      <c r="B165" s="8"/>
      <c r="C165" s="13" t="str">
        <f aca="false">IF(A165="","",IFERROR(VLOOKUP(A165,Inventory!$A:$D,4,0),"—"))</f>
        <v/>
      </c>
      <c r="D165" s="13" t="str">
        <f aca="false">IF(A165="","",IFERROR(VLOOKUP(A165,Inventory!$A:$E,5,0),"—"))</f>
        <v/>
      </c>
      <c r="E165" s="13"/>
      <c r="F165" s="13"/>
      <c r="G165" s="13"/>
      <c r="H165" s="14"/>
      <c r="I165" s="14"/>
      <c r="J165" s="14"/>
      <c r="K165" s="13"/>
      <c r="L165" s="13"/>
    </row>
    <row r="166" customFormat="false" ht="15" hidden="false" customHeight="false" outlineLevel="0" collapsed="false">
      <c r="A166" s="11"/>
      <c r="B166" s="9"/>
      <c r="C166" s="11" t="str">
        <f aca="false">IF(A166="","",IFERROR(VLOOKUP(A166,Inventory!$A:$D,4,0),"—"))</f>
        <v/>
      </c>
      <c r="D166" s="11" t="str">
        <f aca="false">IF(A166="","",IFERROR(VLOOKUP(A166,Inventory!$A:$E,5,0),"—"))</f>
        <v/>
      </c>
      <c r="E166" s="11"/>
      <c r="F166" s="11"/>
      <c r="G166" s="11"/>
      <c r="H166" s="12"/>
      <c r="I166" s="12"/>
      <c r="J166" s="12"/>
      <c r="K166" s="11"/>
      <c r="L166" s="11"/>
    </row>
    <row r="167" customFormat="false" ht="15" hidden="false" customHeight="false" outlineLevel="0" collapsed="false">
      <c r="A167" s="13"/>
      <c r="B167" s="8"/>
      <c r="C167" s="13" t="str">
        <f aca="false">IF(A167="","",IFERROR(VLOOKUP(A167,Inventory!$A:$D,4,0),"—"))</f>
        <v/>
      </c>
      <c r="D167" s="13" t="str">
        <f aca="false">IF(A167="","",IFERROR(VLOOKUP(A167,Inventory!$A:$E,5,0),"—"))</f>
        <v/>
      </c>
      <c r="E167" s="13"/>
      <c r="F167" s="13"/>
      <c r="G167" s="13"/>
      <c r="H167" s="14"/>
      <c r="I167" s="14"/>
      <c r="J167" s="14"/>
      <c r="K167" s="13"/>
      <c r="L167" s="13"/>
    </row>
    <row r="168" customFormat="false" ht="15" hidden="false" customHeight="false" outlineLevel="0" collapsed="false">
      <c r="A168" s="11"/>
      <c r="B168" s="9"/>
      <c r="C168" s="11" t="str">
        <f aca="false">IF(A168="","",IFERROR(VLOOKUP(A168,Inventory!$A:$D,4,0),"—"))</f>
        <v/>
      </c>
      <c r="D168" s="11" t="str">
        <f aca="false">IF(A168="","",IFERROR(VLOOKUP(A168,Inventory!$A:$E,5,0),"—"))</f>
        <v/>
      </c>
      <c r="E168" s="11"/>
      <c r="F168" s="11"/>
      <c r="G168" s="11"/>
      <c r="H168" s="12"/>
      <c r="I168" s="12"/>
      <c r="J168" s="12"/>
      <c r="K168" s="11"/>
      <c r="L168" s="11"/>
    </row>
    <row r="169" customFormat="false" ht="15" hidden="false" customHeight="false" outlineLevel="0" collapsed="false">
      <c r="A169" s="13"/>
      <c r="B169" s="8"/>
      <c r="C169" s="13" t="str">
        <f aca="false">IF(A169="","",IFERROR(VLOOKUP(A169,Inventory!$A:$D,4,0),"—"))</f>
        <v/>
      </c>
      <c r="D169" s="13" t="str">
        <f aca="false">IF(A169="","",IFERROR(VLOOKUP(A169,Inventory!$A:$E,5,0),"—"))</f>
        <v/>
      </c>
      <c r="E169" s="13"/>
      <c r="F169" s="13"/>
      <c r="G169" s="13"/>
      <c r="H169" s="14"/>
      <c r="I169" s="14"/>
      <c r="J169" s="14"/>
      <c r="K169" s="13"/>
      <c r="L169" s="13"/>
    </row>
    <row r="170" customFormat="false" ht="15" hidden="false" customHeight="false" outlineLevel="0" collapsed="false">
      <c r="A170" s="11"/>
      <c r="B170" s="9"/>
      <c r="C170" s="11" t="str">
        <f aca="false">IF(A170="","",IFERROR(VLOOKUP(A170,Inventory!$A:$D,4,0),"—"))</f>
        <v/>
      </c>
      <c r="D170" s="11" t="str">
        <f aca="false">IF(A170="","",IFERROR(VLOOKUP(A170,Inventory!$A:$E,5,0),"—"))</f>
        <v/>
      </c>
      <c r="E170" s="11"/>
      <c r="F170" s="11"/>
      <c r="G170" s="11"/>
      <c r="H170" s="12"/>
      <c r="I170" s="12"/>
      <c r="J170" s="12"/>
      <c r="K170" s="11"/>
      <c r="L170" s="11"/>
    </row>
    <row r="171" customFormat="false" ht="15" hidden="false" customHeight="false" outlineLevel="0" collapsed="false">
      <c r="A171" s="13"/>
      <c r="B171" s="8"/>
      <c r="C171" s="13" t="str">
        <f aca="false">IF(A171="","",IFERROR(VLOOKUP(A171,Inventory!$A:$D,4,0),"—"))</f>
        <v/>
      </c>
      <c r="D171" s="13" t="str">
        <f aca="false">IF(A171="","",IFERROR(VLOOKUP(A171,Inventory!$A:$E,5,0),"—"))</f>
        <v/>
      </c>
      <c r="E171" s="13"/>
      <c r="F171" s="13"/>
      <c r="G171" s="13"/>
      <c r="H171" s="14"/>
      <c r="I171" s="14"/>
      <c r="J171" s="14"/>
      <c r="K171" s="13"/>
      <c r="L171" s="13"/>
    </row>
    <row r="172" customFormat="false" ht="15" hidden="false" customHeight="false" outlineLevel="0" collapsed="false">
      <c r="A172" s="11"/>
      <c r="B172" s="9"/>
      <c r="C172" s="11" t="str">
        <f aca="false">IF(A172="","",IFERROR(VLOOKUP(A172,Inventory!$A:$D,4,0),"—"))</f>
        <v/>
      </c>
      <c r="D172" s="11" t="str">
        <f aca="false">IF(A172="","",IFERROR(VLOOKUP(A172,Inventory!$A:$E,5,0),"—"))</f>
        <v/>
      </c>
      <c r="E172" s="11"/>
      <c r="F172" s="11"/>
      <c r="G172" s="11"/>
      <c r="H172" s="12"/>
      <c r="I172" s="12"/>
      <c r="J172" s="12"/>
      <c r="K172" s="11"/>
      <c r="L172" s="11"/>
    </row>
    <row r="173" customFormat="false" ht="15" hidden="false" customHeight="false" outlineLevel="0" collapsed="false">
      <c r="A173" s="13"/>
      <c r="B173" s="8"/>
      <c r="C173" s="13" t="str">
        <f aca="false">IF(A173="","",IFERROR(VLOOKUP(A173,Inventory!$A:$D,4,0),"—"))</f>
        <v/>
      </c>
      <c r="D173" s="13" t="str">
        <f aca="false">IF(A173="","",IFERROR(VLOOKUP(A173,Inventory!$A:$E,5,0),"—"))</f>
        <v/>
      </c>
      <c r="E173" s="13"/>
      <c r="F173" s="13"/>
      <c r="G173" s="13"/>
      <c r="H173" s="14"/>
      <c r="I173" s="14"/>
      <c r="J173" s="14"/>
      <c r="K173" s="13"/>
      <c r="L173" s="13"/>
    </row>
    <row r="174" customFormat="false" ht="15" hidden="false" customHeight="false" outlineLevel="0" collapsed="false">
      <c r="A174" s="11"/>
      <c r="B174" s="9"/>
      <c r="C174" s="11" t="str">
        <f aca="false">IF(A174="","",IFERROR(VLOOKUP(A174,Inventory!$A:$D,4,0),"—"))</f>
        <v/>
      </c>
      <c r="D174" s="11" t="str">
        <f aca="false">IF(A174="","",IFERROR(VLOOKUP(A174,Inventory!$A:$E,5,0),"—"))</f>
        <v/>
      </c>
      <c r="E174" s="11"/>
      <c r="F174" s="11"/>
      <c r="G174" s="11"/>
      <c r="H174" s="12"/>
      <c r="I174" s="12"/>
      <c r="J174" s="12"/>
      <c r="K174" s="11"/>
      <c r="L174" s="11"/>
    </row>
    <row r="175" customFormat="false" ht="15" hidden="false" customHeight="false" outlineLevel="0" collapsed="false">
      <c r="A175" s="13"/>
      <c r="B175" s="8"/>
      <c r="C175" s="13" t="str">
        <f aca="false">IF(A175="","",IFERROR(VLOOKUP(A175,Inventory!$A:$D,4,0),"—"))</f>
        <v/>
      </c>
      <c r="D175" s="13" t="str">
        <f aca="false">IF(A175="","",IFERROR(VLOOKUP(A175,Inventory!$A:$E,5,0),"—"))</f>
        <v/>
      </c>
      <c r="E175" s="13"/>
      <c r="F175" s="13"/>
      <c r="G175" s="13"/>
      <c r="H175" s="14"/>
      <c r="I175" s="14"/>
      <c r="J175" s="14"/>
      <c r="K175" s="13"/>
      <c r="L175" s="13"/>
    </row>
    <row r="176" customFormat="false" ht="15" hidden="false" customHeight="false" outlineLevel="0" collapsed="false">
      <c r="A176" s="11"/>
      <c r="B176" s="9"/>
      <c r="C176" s="11" t="str">
        <f aca="false">IF(A176="","",IFERROR(VLOOKUP(A176,Inventory!$A:$D,4,0),"—"))</f>
        <v/>
      </c>
      <c r="D176" s="11" t="str">
        <f aca="false">IF(A176="","",IFERROR(VLOOKUP(A176,Inventory!$A:$E,5,0),"—"))</f>
        <v/>
      </c>
      <c r="E176" s="11"/>
      <c r="F176" s="11"/>
      <c r="G176" s="11"/>
      <c r="H176" s="12"/>
      <c r="I176" s="12"/>
      <c r="J176" s="12"/>
      <c r="K176" s="11"/>
      <c r="L176" s="11"/>
    </row>
    <row r="177" customFormat="false" ht="15" hidden="false" customHeight="false" outlineLevel="0" collapsed="false">
      <c r="A177" s="13"/>
      <c r="B177" s="8"/>
      <c r="C177" s="13" t="str">
        <f aca="false">IF(A177="","",IFERROR(VLOOKUP(A177,Inventory!$A:$D,4,0),"—"))</f>
        <v/>
      </c>
      <c r="D177" s="13" t="str">
        <f aca="false">IF(A177="","",IFERROR(VLOOKUP(A177,Inventory!$A:$E,5,0),"—"))</f>
        <v/>
      </c>
      <c r="E177" s="13"/>
      <c r="F177" s="13"/>
      <c r="G177" s="13"/>
      <c r="H177" s="14"/>
      <c r="I177" s="14"/>
      <c r="J177" s="14"/>
      <c r="K177" s="13"/>
      <c r="L177" s="13"/>
    </row>
    <row r="178" customFormat="false" ht="15" hidden="false" customHeight="false" outlineLevel="0" collapsed="false">
      <c r="A178" s="11"/>
      <c r="B178" s="9"/>
      <c r="C178" s="11" t="str">
        <f aca="false">IF(A178="","",IFERROR(VLOOKUP(A178,Inventory!$A:$D,4,0),"—"))</f>
        <v/>
      </c>
      <c r="D178" s="11" t="str">
        <f aca="false">IF(A178="","",IFERROR(VLOOKUP(A178,Inventory!$A:$E,5,0),"—"))</f>
        <v/>
      </c>
      <c r="E178" s="11"/>
      <c r="F178" s="11"/>
      <c r="G178" s="11"/>
      <c r="H178" s="12"/>
      <c r="I178" s="12"/>
      <c r="J178" s="12"/>
      <c r="K178" s="11"/>
      <c r="L178" s="11"/>
    </row>
    <row r="179" customFormat="false" ht="15" hidden="false" customHeight="false" outlineLevel="0" collapsed="false">
      <c r="A179" s="13"/>
      <c r="B179" s="8"/>
      <c r="C179" s="13" t="str">
        <f aca="false">IF(A179="","",IFERROR(VLOOKUP(A179,Inventory!$A:$D,4,0),"—"))</f>
        <v/>
      </c>
      <c r="D179" s="13" t="str">
        <f aca="false">IF(A179="","",IFERROR(VLOOKUP(A179,Inventory!$A:$E,5,0),"—"))</f>
        <v/>
      </c>
      <c r="E179" s="13"/>
      <c r="F179" s="13"/>
      <c r="G179" s="13"/>
      <c r="H179" s="14"/>
      <c r="I179" s="14"/>
      <c r="J179" s="14"/>
      <c r="K179" s="13"/>
      <c r="L179" s="13"/>
    </row>
    <row r="180" customFormat="false" ht="15" hidden="false" customHeight="false" outlineLevel="0" collapsed="false">
      <c r="A180" s="11"/>
      <c r="B180" s="9"/>
      <c r="C180" s="11" t="str">
        <f aca="false">IF(A180="","",IFERROR(VLOOKUP(A180,Inventory!$A:$D,4,0),"—"))</f>
        <v/>
      </c>
      <c r="D180" s="11" t="str">
        <f aca="false">IF(A180="","",IFERROR(VLOOKUP(A180,Inventory!$A:$E,5,0),"—"))</f>
        <v/>
      </c>
      <c r="E180" s="11"/>
      <c r="F180" s="11"/>
      <c r="G180" s="11"/>
      <c r="H180" s="12"/>
      <c r="I180" s="12"/>
      <c r="J180" s="12"/>
      <c r="K180" s="11"/>
      <c r="L180" s="11"/>
    </row>
    <row r="181" customFormat="false" ht="15" hidden="false" customHeight="false" outlineLevel="0" collapsed="false">
      <c r="A181" s="13"/>
      <c r="B181" s="8"/>
      <c r="C181" s="13" t="str">
        <f aca="false">IF(A181="","",IFERROR(VLOOKUP(A181,Inventory!$A:$D,4,0),"—"))</f>
        <v/>
      </c>
      <c r="D181" s="13" t="str">
        <f aca="false">IF(A181="","",IFERROR(VLOOKUP(A181,Inventory!$A:$E,5,0),"—"))</f>
        <v/>
      </c>
      <c r="E181" s="13"/>
      <c r="F181" s="13"/>
      <c r="G181" s="13"/>
      <c r="H181" s="14"/>
      <c r="I181" s="14"/>
      <c r="J181" s="14"/>
      <c r="K181" s="13"/>
      <c r="L181" s="13"/>
    </row>
    <row r="182" customFormat="false" ht="15" hidden="false" customHeight="false" outlineLevel="0" collapsed="false">
      <c r="A182" s="11"/>
      <c r="B182" s="9"/>
      <c r="C182" s="11" t="str">
        <f aca="false">IF(A182="","",IFERROR(VLOOKUP(A182,Inventory!$A:$D,4,0),"—"))</f>
        <v/>
      </c>
      <c r="D182" s="11" t="str">
        <f aca="false">IF(A182="","",IFERROR(VLOOKUP(A182,Inventory!$A:$E,5,0),"—"))</f>
        <v/>
      </c>
      <c r="E182" s="11"/>
      <c r="F182" s="11"/>
      <c r="G182" s="11"/>
      <c r="H182" s="12"/>
      <c r="I182" s="12"/>
      <c r="J182" s="12"/>
      <c r="K182" s="11"/>
      <c r="L182" s="11"/>
    </row>
    <row r="183" customFormat="false" ht="15" hidden="false" customHeight="false" outlineLevel="0" collapsed="false">
      <c r="A183" s="13"/>
      <c r="B183" s="8"/>
      <c r="C183" s="13" t="str">
        <f aca="false">IF(A183="","",IFERROR(VLOOKUP(A183,Inventory!$A:$D,4,0),"—"))</f>
        <v/>
      </c>
      <c r="D183" s="13" t="str">
        <f aca="false">IF(A183="","",IFERROR(VLOOKUP(A183,Inventory!$A:$E,5,0),"—"))</f>
        <v/>
      </c>
      <c r="E183" s="13"/>
      <c r="F183" s="13"/>
      <c r="G183" s="13"/>
      <c r="H183" s="14"/>
      <c r="I183" s="14"/>
      <c r="J183" s="14"/>
      <c r="K183" s="13"/>
      <c r="L183" s="13"/>
    </row>
    <row r="184" customFormat="false" ht="15" hidden="false" customHeight="false" outlineLevel="0" collapsed="false">
      <c r="A184" s="11"/>
      <c r="B184" s="9"/>
      <c r="C184" s="11" t="str">
        <f aca="false">IF(A184="","",IFERROR(VLOOKUP(A184,Inventory!$A:$D,4,0),"—"))</f>
        <v/>
      </c>
      <c r="D184" s="11" t="str">
        <f aca="false">IF(A184="","",IFERROR(VLOOKUP(A184,Inventory!$A:$E,5,0),"—"))</f>
        <v/>
      </c>
      <c r="E184" s="11"/>
      <c r="F184" s="11"/>
      <c r="G184" s="11"/>
      <c r="H184" s="12"/>
      <c r="I184" s="12"/>
      <c r="J184" s="12"/>
      <c r="K184" s="11"/>
      <c r="L184" s="11"/>
    </row>
    <row r="185" customFormat="false" ht="15" hidden="false" customHeight="false" outlineLevel="0" collapsed="false">
      <c r="A185" s="13"/>
      <c r="B185" s="8"/>
      <c r="C185" s="13" t="str">
        <f aca="false">IF(A185="","",IFERROR(VLOOKUP(A185,Inventory!$A:$D,4,0),"—"))</f>
        <v/>
      </c>
      <c r="D185" s="13" t="str">
        <f aca="false">IF(A185="","",IFERROR(VLOOKUP(A185,Inventory!$A:$E,5,0),"—"))</f>
        <v/>
      </c>
      <c r="E185" s="13"/>
      <c r="F185" s="13"/>
      <c r="G185" s="13"/>
      <c r="H185" s="14"/>
      <c r="I185" s="14"/>
      <c r="J185" s="14"/>
      <c r="K185" s="13"/>
      <c r="L185" s="13"/>
    </row>
    <row r="186" customFormat="false" ht="15" hidden="false" customHeight="false" outlineLevel="0" collapsed="false">
      <c r="A186" s="11"/>
      <c r="B186" s="9"/>
      <c r="C186" s="11" t="str">
        <f aca="false">IF(A186="","",IFERROR(VLOOKUP(A186,Inventory!$A:$D,4,0),"—"))</f>
        <v/>
      </c>
      <c r="D186" s="11" t="str">
        <f aca="false">IF(A186="","",IFERROR(VLOOKUP(A186,Inventory!$A:$E,5,0),"—"))</f>
        <v/>
      </c>
      <c r="E186" s="11"/>
      <c r="F186" s="11"/>
      <c r="G186" s="11"/>
      <c r="H186" s="12"/>
      <c r="I186" s="12"/>
      <c r="J186" s="12"/>
      <c r="K186" s="11"/>
      <c r="L186" s="11"/>
    </row>
    <row r="187" customFormat="false" ht="15" hidden="false" customHeight="false" outlineLevel="0" collapsed="false">
      <c r="A187" s="13"/>
      <c r="B187" s="8"/>
      <c r="C187" s="13" t="str">
        <f aca="false">IF(A187="","",IFERROR(VLOOKUP(A187,Inventory!$A:$D,4,0),"—"))</f>
        <v/>
      </c>
      <c r="D187" s="13" t="str">
        <f aca="false">IF(A187="","",IFERROR(VLOOKUP(A187,Inventory!$A:$E,5,0),"—"))</f>
        <v/>
      </c>
      <c r="E187" s="13"/>
      <c r="F187" s="13"/>
      <c r="G187" s="13"/>
      <c r="H187" s="14"/>
      <c r="I187" s="14"/>
      <c r="J187" s="14"/>
      <c r="K187" s="13"/>
      <c r="L187" s="13"/>
    </row>
    <row r="188" customFormat="false" ht="15" hidden="false" customHeight="false" outlineLevel="0" collapsed="false">
      <c r="A188" s="11"/>
      <c r="B188" s="9"/>
      <c r="C188" s="11" t="str">
        <f aca="false">IF(A188="","",IFERROR(VLOOKUP(A188,Inventory!$A:$D,4,0),"—"))</f>
        <v/>
      </c>
      <c r="D188" s="11" t="str">
        <f aca="false">IF(A188="","",IFERROR(VLOOKUP(A188,Inventory!$A:$E,5,0),"—"))</f>
        <v/>
      </c>
      <c r="E188" s="11"/>
      <c r="F188" s="11"/>
      <c r="G188" s="11"/>
      <c r="H188" s="12"/>
      <c r="I188" s="12"/>
      <c r="J188" s="12"/>
      <c r="K188" s="11"/>
      <c r="L188" s="11"/>
    </row>
    <row r="189" customFormat="false" ht="15" hidden="false" customHeight="false" outlineLevel="0" collapsed="false">
      <c r="A189" s="13"/>
      <c r="B189" s="8"/>
      <c r="C189" s="13" t="str">
        <f aca="false">IF(A189="","",IFERROR(VLOOKUP(A189,Inventory!$A:$D,4,0),"—"))</f>
        <v/>
      </c>
      <c r="D189" s="13" t="str">
        <f aca="false">IF(A189="","",IFERROR(VLOOKUP(A189,Inventory!$A:$E,5,0),"—"))</f>
        <v/>
      </c>
      <c r="E189" s="13"/>
      <c r="F189" s="13"/>
      <c r="G189" s="13"/>
      <c r="H189" s="14"/>
      <c r="I189" s="14"/>
      <c r="J189" s="14"/>
      <c r="K189" s="13"/>
      <c r="L189" s="13"/>
    </row>
    <row r="190" customFormat="false" ht="15" hidden="false" customHeight="false" outlineLevel="0" collapsed="false">
      <c r="A190" s="11"/>
      <c r="B190" s="9"/>
      <c r="C190" s="11" t="str">
        <f aca="false">IF(A190="","",IFERROR(VLOOKUP(A190,Inventory!$A:$D,4,0),"—"))</f>
        <v/>
      </c>
      <c r="D190" s="11" t="str">
        <f aca="false">IF(A190="","",IFERROR(VLOOKUP(A190,Inventory!$A:$E,5,0),"—"))</f>
        <v/>
      </c>
      <c r="E190" s="11"/>
      <c r="F190" s="11"/>
      <c r="G190" s="11"/>
      <c r="H190" s="12"/>
      <c r="I190" s="12"/>
      <c r="J190" s="12"/>
      <c r="K190" s="11"/>
      <c r="L190" s="11"/>
    </row>
    <row r="191" customFormat="false" ht="15" hidden="false" customHeight="false" outlineLevel="0" collapsed="false">
      <c r="A191" s="13"/>
      <c r="B191" s="8"/>
      <c r="C191" s="13" t="str">
        <f aca="false">IF(A191="","",IFERROR(VLOOKUP(A191,Inventory!$A:$D,4,0),"—"))</f>
        <v/>
      </c>
      <c r="D191" s="13" t="str">
        <f aca="false">IF(A191="","",IFERROR(VLOOKUP(A191,Inventory!$A:$E,5,0),"—"))</f>
        <v/>
      </c>
      <c r="E191" s="13"/>
      <c r="F191" s="13"/>
      <c r="G191" s="13"/>
      <c r="H191" s="14"/>
      <c r="I191" s="14"/>
      <c r="J191" s="14"/>
      <c r="K191" s="13"/>
      <c r="L191" s="13"/>
    </row>
    <row r="192" customFormat="false" ht="15" hidden="false" customHeight="false" outlineLevel="0" collapsed="false">
      <c r="A192" s="11"/>
      <c r="B192" s="9"/>
      <c r="C192" s="11" t="str">
        <f aca="false">IF(A192="","",IFERROR(VLOOKUP(A192,Inventory!$A:$D,4,0),"—"))</f>
        <v/>
      </c>
      <c r="D192" s="11" t="str">
        <f aca="false">IF(A192="","",IFERROR(VLOOKUP(A192,Inventory!$A:$E,5,0),"—"))</f>
        <v/>
      </c>
      <c r="E192" s="11"/>
      <c r="F192" s="11"/>
      <c r="G192" s="11"/>
      <c r="H192" s="12"/>
      <c r="I192" s="12"/>
      <c r="J192" s="12"/>
      <c r="K192" s="11"/>
      <c r="L192" s="11"/>
    </row>
    <row r="193" customFormat="false" ht="15" hidden="false" customHeight="false" outlineLevel="0" collapsed="false">
      <c r="A193" s="13"/>
      <c r="B193" s="8"/>
      <c r="C193" s="13" t="str">
        <f aca="false">IF(A193="","",IFERROR(VLOOKUP(A193,Inventory!$A:$D,4,0),"—"))</f>
        <v/>
      </c>
      <c r="D193" s="13" t="str">
        <f aca="false">IF(A193="","",IFERROR(VLOOKUP(A193,Inventory!$A:$E,5,0),"—"))</f>
        <v/>
      </c>
      <c r="E193" s="13"/>
      <c r="F193" s="13"/>
      <c r="G193" s="13"/>
      <c r="H193" s="14"/>
      <c r="I193" s="14"/>
      <c r="J193" s="14"/>
      <c r="K193" s="13"/>
      <c r="L193" s="13"/>
    </row>
    <row r="194" customFormat="false" ht="15" hidden="false" customHeight="false" outlineLevel="0" collapsed="false">
      <c r="A194" s="11"/>
      <c r="B194" s="9"/>
      <c r="C194" s="11" t="str">
        <f aca="false">IF(A194="","",IFERROR(VLOOKUP(A194,Inventory!$A:$D,4,0),"—"))</f>
        <v/>
      </c>
      <c r="D194" s="11" t="str">
        <f aca="false">IF(A194="","",IFERROR(VLOOKUP(A194,Inventory!$A:$E,5,0),"—"))</f>
        <v/>
      </c>
      <c r="E194" s="11"/>
      <c r="F194" s="11"/>
      <c r="G194" s="11"/>
      <c r="H194" s="12"/>
      <c r="I194" s="12"/>
      <c r="J194" s="12"/>
      <c r="K194" s="11"/>
      <c r="L194" s="11"/>
    </row>
    <row r="195" customFormat="false" ht="15" hidden="false" customHeight="false" outlineLevel="0" collapsed="false">
      <c r="A195" s="13"/>
      <c r="B195" s="8"/>
      <c r="C195" s="13" t="str">
        <f aca="false">IF(A195="","",IFERROR(VLOOKUP(A195,Inventory!$A:$D,4,0),"—"))</f>
        <v/>
      </c>
      <c r="D195" s="13" t="str">
        <f aca="false">IF(A195="","",IFERROR(VLOOKUP(A195,Inventory!$A:$E,5,0),"—"))</f>
        <v/>
      </c>
      <c r="E195" s="13"/>
      <c r="F195" s="13"/>
      <c r="G195" s="13"/>
      <c r="H195" s="14"/>
      <c r="I195" s="14"/>
      <c r="J195" s="14"/>
      <c r="K195" s="13"/>
      <c r="L195" s="13"/>
    </row>
    <row r="196" customFormat="false" ht="15" hidden="false" customHeight="false" outlineLevel="0" collapsed="false">
      <c r="A196" s="11"/>
      <c r="B196" s="9"/>
      <c r="C196" s="11" t="str">
        <f aca="false">IF(A196="","",IFERROR(VLOOKUP(A196,Inventory!$A:$D,4,0),"—"))</f>
        <v/>
      </c>
      <c r="D196" s="11" t="str">
        <f aca="false">IF(A196="","",IFERROR(VLOOKUP(A196,Inventory!$A:$E,5,0),"—"))</f>
        <v/>
      </c>
      <c r="E196" s="11"/>
      <c r="F196" s="11"/>
      <c r="G196" s="11"/>
      <c r="H196" s="12"/>
      <c r="I196" s="12"/>
      <c r="J196" s="12"/>
      <c r="K196" s="11"/>
      <c r="L196" s="11"/>
    </row>
    <row r="197" customFormat="false" ht="15" hidden="false" customHeight="false" outlineLevel="0" collapsed="false">
      <c r="A197" s="13"/>
      <c r="B197" s="8"/>
      <c r="C197" s="13" t="str">
        <f aca="false">IF(A197="","",IFERROR(VLOOKUP(A197,Inventory!$A:$D,4,0),"—"))</f>
        <v/>
      </c>
      <c r="D197" s="13" t="str">
        <f aca="false">IF(A197="","",IFERROR(VLOOKUP(A197,Inventory!$A:$E,5,0),"—"))</f>
        <v/>
      </c>
      <c r="E197" s="13"/>
      <c r="F197" s="13"/>
      <c r="G197" s="13"/>
      <c r="H197" s="14"/>
      <c r="I197" s="14"/>
      <c r="J197" s="14"/>
      <c r="K197" s="13"/>
      <c r="L197" s="13"/>
    </row>
    <row r="198" customFormat="false" ht="15" hidden="false" customHeight="false" outlineLevel="0" collapsed="false">
      <c r="A198" s="11"/>
      <c r="B198" s="9"/>
      <c r="C198" s="11" t="str">
        <f aca="false">IF(A198="","",IFERROR(VLOOKUP(A198,Inventory!$A:$D,4,0),"—"))</f>
        <v/>
      </c>
      <c r="D198" s="11" t="str">
        <f aca="false">IF(A198="","",IFERROR(VLOOKUP(A198,Inventory!$A:$E,5,0),"—"))</f>
        <v/>
      </c>
      <c r="E198" s="11"/>
      <c r="F198" s="11"/>
      <c r="G198" s="11"/>
      <c r="H198" s="12"/>
      <c r="I198" s="12"/>
      <c r="J198" s="12"/>
      <c r="K198" s="11"/>
      <c r="L198" s="11"/>
    </row>
    <row r="199" customFormat="false" ht="15" hidden="false" customHeight="false" outlineLevel="0" collapsed="false">
      <c r="A199" s="13"/>
      <c r="B199" s="8"/>
      <c r="C199" s="13" t="str">
        <f aca="false">IF(A199="","",IFERROR(VLOOKUP(A199,Inventory!$A:$D,4,0),"—"))</f>
        <v/>
      </c>
      <c r="D199" s="13" t="str">
        <f aca="false">IF(A199="","",IFERROR(VLOOKUP(A199,Inventory!$A:$E,5,0),"—"))</f>
        <v/>
      </c>
      <c r="E199" s="13"/>
      <c r="F199" s="13"/>
      <c r="G199" s="13"/>
      <c r="H199" s="14"/>
      <c r="I199" s="14"/>
      <c r="J199" s="14"/>
      <c r="K199" s="13"/>
      <c r="L199" s="13"/>
    </row>
    <row r="200" customFormat="false" ht="15" hidden="false" customHeight="false" outlineLevel="0" collapsed="false">
      <c r="A200" s="11"/>
      <c r="B200" s="9"/>
      <c r="C200" s="11" t="str">
        <f aca="false">IF(A200="","",IFERROR(VLOOKUP(A200,Inventory!$A:$D,4,0),"—"))</f>
        <v/>
      </c>
      <c r="D200" s="11" t="str">
        <f aca="false">IF(A200="","",IFERROR(VLOOKUP(A200,Inventory!$A:$E,5,0),"—"))</f>
        <v/>
      </c>
      <c r="E200" s="11"/>
      <c r="F200" s="11"/>
      <c r="G200" s="11"/>
      <c r="H200" s="12"/>
      <c r="I200" s="12"/>
      <c r="J200" s="12"/>
      <c r="K200" s="11"/>
      <c r="L200" s="11"/>
    </row>
    <row r="201" customFormat="false" ht="15" hidden="false" customHeight="false" outlineLevel="0" collapsed="false">
      <c r="A201" s="13"/>
      <c r="B201" s="8"/>
      <c r="C201" s="13" t="str">
        <f aca="false">IF(A201="","",IFERROR(VLOOKUP(A201,Inventory!$A:$D,4,0),"—"))</f>
        <v/>
      </c>
      <c r="D201" s="13" t="str">
        <f aca="false">IF(A201="","",IFERROR(VLOOKUP(A201,Inventory!$A:$E,5,0),"—"))</f>
        <v/>
      </c>
      <c r="E201" s="13"/>
      <c r="F201" s="13"/>
      <c r="G201" s="13"/>
      <c r="H201" s="14"/>
      <c r="I201" s="14"/>
      <c r="J201" s="14"/>
      <c r="K201" s="13"/>
      <c r="L201" s="13"/>
    </row>
    <row r="202" customFormat="false" ht="15" hidden="false" customHeight="false" outlineLevel="0" collapsed="false">
      <c r="A202" s="11"/>
      <c r="B202" s="9"/>
      <c r="C202" s="11" t="str">
        <f aca="false">IF(A202="","",IFERROR(VLOOKUP(A202,Inventory!$A:$D,4,0),"—"))</f>
        <v/>
      </c>
      <c r="D202" s="11" t="str">
        <f aca="false">IF(A202="","",IFERROR(VLOOKUP(A202,Inventory!$A:$E,5,0),"—"))</f>
        <v/>
      </c>
      <c r="E202" s="11"/>
      <c r="F202" s="11"/>
      <c r="G202" s="11"/>
      <c r="H202" s="12"/>
      <c r="I202" s="12"/>
      <c r="J202" s="12"/>
      <c r="K202" s="11"/>
      <c r="L202" s="11"/>
    </row>
    <row r="203" customFormat="false" ht="15" hidden="false" customHeight="false" outlineLevel="0" collapsed="false">
      <c r="A203" s="13"/>
      <c r="B203" s="8"/>
      <c r="C203" s="13" t="str">
        <f aca="false">IF(A203="","",IFERROR(VLOOKUP(A203,Inventory!$A:$D,4,0),"—"))</f>
        <v/>
      </c>
      <c r="D203" s="13" t="str">
        <f aca="false">IF(A203="","",IFERROR(VLOOKUP(A203,Inventory!$A:$E,5,0),"—"))</f>
        <v/>
      </c>
      <c r="E203" s="13"/>
      <c r="F203" s="13"/>
      <c r="G203" s="13"/>
      <c r="H203" s="14"/>
      <c r="I203" s="14"/>
      <c r="J203" s="14"/>
      <c r="K203" s="13"/>
      <c r="L203" s="13"/>
    </row>
    <row r="204" customFormat="false" ht="15" hidden="false" customHeight="false" outlineLevel="0" collapsed="false">
      <c r="A204" s="11"/>
      <c r="B204" s="9"/>
      <c r="C204" s="11" t="str">
        <f aca="false">IF(A204="","",IFERROR(VLOOKUP(A204,Inventory!$A:$D,4,0),"—"))</f>
        <v/>
      </c>
      <c r="D204" s="11" t="str">
        <f aca="false">IF(A204="","",IFERROR(VLOOKUP(A204,Inventory!$A:$E,5,0),"—"))</f>
        <v/>
      </c>
      <c r="E204" s="11"/>
      <c r="F204" s="11"/>
      <c r="G204" s="11"/>
      <c r="H204" s="12"/>
      <c r="I204" s="12"/>
      <c r="J204" s="12"/>
      <c r="K204" s="11"/>
      <c r="L204" s="11"/>
    </row>
    <row r="205" customFormat="false" ht="15" hidden="false" customHeight="false" outlineLevel="0" collapsed="false">
      <c r="A205" s="13"/>
      <c r="B205" s="8"/>
      <c r="C205" s="13" t="str">
        <f aca="false">IF(A205="","",IFERROR(VLOOKUP(A205,Inventory!$A:$D,4,0),"—"))</f>
        <v/>
      </c>
      <c r="D205" s="13" t="str">
        <f aca="false">IF(A205="","",IFERROR(VLOOKUP(A205,Inventory!$A:$E,5,0),"—"))</f>
        <v/>
      </c>
      <c r="E205" s="13"/>
      <c r="F205" s="13"/>
      <c r="G205" s="13"/>
      <c r="H205" s="14"/>
      <c r="I205" s="14"/>
      <c r="J205" s="14"/>
      <c r="K205" s="13"/>
      <c r="L205" s="13"/>
    </row>
    <row r="206" customFormat="false" ht="15" hidden="false" customHeight="false" outlineLevel="0" collapsed="false">
      <c r="A206" s="11"/>
      <c r="B206" s="9"/>
      <c r="C206" s="11" t="str">
        <f aca="false">IF(A206="","",IFERROR(VLOOKUP(A206,Inventory!$A:$D,4,0),"—"))</f>
        <v/>
      </c>
      <c r="D206" s="11" t="str">
        <f aca="false">IF(A206="","",IFERROR(VLOOKUP(A206,Inventory!$A:$E,5,0),"—"))</f>
        <v/>
      </c>
      <c r="E206" s="11"/>
      <c r="F206" s="11"/>
      <c r="G206" s="11"/>
      <c r="H206" s="12"/>
      <c r="I206" s="12"/>
      <c r="J206" s="12"/>
      <c r="K206" s="11"/>
      <c r="L206" s="11"/>
    </row>
    <row r="207" customFormat="false" ht="15" hidden="false" customHeight="false" outlineLevel="0" collapsed="false">
      <c r="A207" s="13"/>
      <c r="B207" s="8"/>
      <c r="C207" s="13" t="str">
        <f aca="false">IF(A207="","",IFERROR(VLOOKUP(A207,Inventory!$A:$D,4,0),"—"))</f>
        <v/>
      </c>
      <c r="D207" s="13" t="str">
        <f aca="false">IF(A207="","",IFERROR(VLOOKUP(A207,Inventory!$A:$E,5,0),"—"))</f>
        <v/>
      </c>
      <c r="E207" s="13"/>
      <c r="F207" s="13"/>
      <c r="G207" s="13"/>
      <c r="H207" s="14"/>
      <c r="I207" s="14"/>
      <c r="J207" s="14"/>
      <c r="K207" s="13"/>
      <c r="L207" s="13"/>
    </row>
    <row r="208" customFormat="false" ht="15" hidden="false" customHeight="false" outlineLevel="0" collapsed="false">
      <c r="A208" s="11"/>
      <c r="B208" s="9"/>
      <c r="C208" s="11" t="str">
        <f aca="false">IF(A208="","",IFERROR(VLOOKUP(A208,Inventory!$A:$D,4,0),"—"))</f>
        <v/>
      </c>
      <c r="D208" s="11" t="str">
        <f aca="false">IF(A208="","",IFERROR(VLOOKUP(A208,Inventory!$A:$E,5,0),"—"))</f>
        <v/>
      </c>
      <c r="E208" s="11"/>
      <c r="F208" s="11"/>
      <c r="G208" s="11"/>
      <c r="H208" s="12"/>
      <c r="I208" s="12"/>
      <c r="J208" s="12"/>
      <c r="K208" s="11"/>
      <c r="L208" s="11"/>
    </row>
    <row r="209" customFormat="false" ht="15" hidden="false" customHeight="false" outlineLevel="0" collapsed="false">
      <c r="A209" s="13"/>
      <c r="B209" s="8"/>
      <c r="C209" s="13" t="str">
        <f aca="false">IF(A209="","",IFERROR(VLOOKUP(A209,Inventory!$A:$D,4,0),"—"))</f>
        <v/>
      </c>
      <c r="D209" s="13" t="str">
        <f aca="false">IF(A209="","",IFERROR(VLOOKUP(A209,Inventory!$A:$E,5,0),"—"))</f>
        <v/>
      </c>
      <c r="E209" s="13"/>
      <c r="F209" s="13"/>
      <c r="G209" s="13"/>
      <c r="H209" s="14"/>
      <c r="I209" s="14"/>
      <c r="J209" s="14"/>
      <c r="K209" s="13"/>
      <c r="L209" s="13"/>
    </row>
    <row r="210" customFormat="false" ht="15" hidden="false" customHeight="false" outlineLevel="0" collapsed="false">
      <c r="A210" s="11"/>
      <c r="B210" s="9"/>
      <c r="C210" s="11" t="str">
        <f aca="false">IF(A210="","",IFERROR(VLOOKUP(A210,Inventory!$A:$D,4,0),"—"))</f>
        <v/>
      </c>
      <c r="D210" s="11" t="str">
        <f aca="false">IF(A210="","",IFERROR(VLOOKUP(A210,Inventory!$A:$E,5,0),"—"))</f>
        <v/>
      </c>
      <c r="E210" s="11"/>
      <c r="F210" s="11"/>
      <c r="G210" s="11"/>
      <c r="H210" s="12"/>
      <c r="I210" s="12"/>
      <c r="J210" s="12"/>
      <c r="K210" s="11"/>
      <c r="L210" s="11"/>
    </row>
    <row r="211" customFormat="false" ht="15" hidden="false" customHeight="false" outlineLevel="0" collapsed="false">
      <c r="A211" s="13"/>
      <c r="B211" s="8"/>
      <c r="C211" s="13" t="str">
        <f aca="false">IF(A211="","",IFERROR(VLOOKUP(A211,Inventory!$A:$D,4,0),"—"))</f>
        <v/>
      </c>
      <c r="D211" s="13" t="str">
        <f aca="false">IF(A211="","",IFERROR(VLOOKUP(A211,Inventory!$A:$E,5,0),"—"))</f>
        <v/>
      </c>
      <c r="E211" s="13"/>
      <c r="F211" s="13"/>
      <c r="G211" s="13"/>
      <c r="H211" s="14"/>
      <c r="I211" s="14"/>
      <c r="J211" s="14"/>
      <c r="K211" s="13"/>
      <c r="L211" s="13"/>
    </row>
    <row r="212" customFormat="false" ht="15" hidden="false" customHeight="false" outlineLevel="0" collapsed="false">
      <c r="A212" s="11"/>
      <c r="B212" s="9"/>
      <c r="C212" s="11" t="str">
        <f aca="false">IF(A212="","",IFERROR(VLOOKUP(A212,Inventory!$A:$D,4,0),"—"))</f>
        <v/>
      </c>
      <c r="D212" s="11" t="str">
        <f aca="false">IF(A212="","",IFERROR(VLOOKUP(A212,Inventory!$A:$E,5,0),"—"))</f>
        <v/>
      </c>
      <c r="E212" s="11"/>
      <c r="F212" s="11"/>
      <c r="G212" s="11"/>
      <c r="H212" s="12"/>
      <c r="I212" s="12"/>
      <c r="J212" s="12"/>
      <c r="K212" s="11"/>
      <c r="L212" s="11"/>
    </row>
    <row r="213" customFormat="false" ht="15" hidden="false" customHeight="false" outlineLevel="0" collapsed="false">
      <c r="A213" s="13"/>
      <c r="B213" s="8"/>
      <c r="C213" s="13" t="str">
        <f aca="false">IF(A213="","",IFERROR(VLOOKUP(A213,Inventory!$A:$D,4,0),"—"))</f>
        <v/>
      </c>
      <c r="D213" s="13" t="str">
        <f aca="false">IF(A213="","",IFERROR(VLOOKUP(A213,Inventory!$A:$E,5,0),"—"))</f>
        <v/>
      </c>
      <c r="E213" s="13"/>
      <c r="F213" s="13"/>
      <c r="G213" s="13"/>
      <c r="H213" s="14"/>
      <c r="I213" s="14"/>
      <c r="J213" s="14"/>
      <c r="K213" s="13"/>
      <c r="L213" s="13"/>
    </row>
    <row r="214" customFormat="false" ht="15" hidden="false" customHeight="false" outlineLevel="0" collapsed="false">
      <c r="A214" s="11"/>
      <c r="B214" s="9"/>
      <c r="C214" s="11" t="str">
        <f aca="false">IF(A214="","",IFERROR(VLOOKUP(A214,Inventory!$A:$D,4,0),"—"))</f>
        <v/>
      </c>
      <c r="D214" s="11" t="str">
        <f aca="false">IF(A214="","",IFERROR(VLOOKUP(A214,Inventory!$A:$E,5,0),"—"))</f>
        <v/>
      </c>
      <c r="E214" s="11"/>
      <c r="F214" s="11"/>
      <c r="G214" s="11"/>
      <c r="H214" s="12"/>
      <c r="I214" s="12"/>
      <c r="J214" s="12"/>
      <c r="K214" s="11"/>
      <c r="L214" s="11"/>
    </row>
    <row r="215" customFormat="false" ht="15" hidden="false" customHeight="false" outlineLevel="0" collapsed="false">
      <c r="A215" s="13"/>
      <c r="B215" s="8"/>
      <c r="C215" s="13" t="str">
        <f aca="false">IF(A215="","",IFERROR(VLOOKUP(A215,Inventory!$A:$D,4,0),"—"))</f>
        <v/>
      </c>
      <c r="D215" s="13" t="str">
        <f aca="false">IF(A215="","",IFERROR(VLOOKUP(A215,Inventory!$A:$E,5,0),"—"))</f>
        <v/>
      </c>
      <c r="E215" s="13"/>
      <c r="F215" s="13"/>
      <c r="G215" s="13"/>
      <c r="H215" s="14"/>
      <c r="I215" s="14"/>
      <c r="J215" s="14"/>
      <c r="K215" s="13"/>
      <c r="L215" s="13"/>
    </row>
    <row r="216" customFormat="false" ht="15" hidden="false" customHeight="false" outlineLevel="0" collapsed="false">
      <c r="A216" s="11"/>
      <c r="B216" s="9"/>
      <c r="C216" s="11" t="str">
        <f aca="false">IF(A216="","",IFERROR(VLOOKUP(A216,Inventory!$A:$D,4,0),"—"))</f>
        <v/>
      </c>
      <c r="D216" s="11" t="str">
        <f aca="false">IF(A216="","",IFERROR(VLOOKUP(A216,Inventory!$A:$E,5,0),"—"))</f>
        <v/>
      </c>
      <c r="E216" s="11"/>
      <c r="F216" s="11"/>
      <c r="G216" s="11"/>
      <c r="H216" s="12"/>
      <c r="I216" s="12"/>
      <c r="J216" s="12"/>
      <c r="K216" s="11"/>
      <c r="L216" s="11"/>
    </row>
    <row r="217" customFormat="false" ht="15" hidden="false" customHeight="false" outlineLevel="0" collapsed="false">
      <c r="A217" s="13"/>
      <c r="B217" s="8"/>
      <c r="C217" s="13" t="str">
        <f aca="false">IF(A217="","",IFERROR(VLOOKUP(A217,Inventory!$A:$D,4,0),"—"))</f>
        <v/>
      </c>
      <c r="D217" s="13" t="str">
        <f aca="false">IF(A217="","",IFERROR(VLOOKUP(A217,Inventory!$A:$E,5,0),"—"))</f>
        <v/>
      </c>
      <c r="E217" s="13"/>
      <c r="F217" s="13"/>
      <c r="G217" s="13"/>
      <c r="H217" s="14"/>
      <c r="I217" s="14"/>
      <c r="J217" s="14"/>
      <c r="K217" s="13"/>
      <c r="L217" s="13"/>
    </row>
    <row r="218" customFormat="false" ht="15" hidden="false" customHeight="false" outlineLevel="0" collapsed="false">
      <c r="A218" s="11"/>
      <c r="B218" s="9"/>
      <c r="C218" s="11" t="str">
        <f aca="false">IF(A218="","",IFERROR(VLOOKUP(A218,Inventory!$A:$D,4,0),"—"))</f>
        <v/>
      </c>
      <c r="D218" s="11" t="str">
        <f aca="false">IF(A218="","",IFERROR(VLOOKUP(A218,Inventory!$A:$E,5,0),"—"))</f>
        <v/>
      </c>
      <c r="E218" s="11"/>
      <c r="F218" s="11"/>
      <c r="G218" s="11"/>
      <c r="H218" s="12"/>
      <c r="I218" s="12"/>
      <c r="J218" s="12"/>
      <c r="K218" s="11"/>
      <c r="L218" s="11"/>
    </row>
    <row r="219" customFormat="false" ht="15" hidden="false" customHeight="false" outlineLevel="0" collapsed="false">
      <c r="A219" s="13"/>
      <c r="B219" s="8"/>
      <c r="C219" s="13" t="str">
        <f aca="false">IF(A219="","",IFERROR(VLOOKUP(A219,Inventory!$A:$D,4,0),"—"))</f>
        <v/>
      </c>
      <c r="D219" s="13" t="str">
        <f aca="false">IF(A219="","",IFERROR(VLOOKUP(A219,Inventory!$A:$E,5,0),"—"))</f>
        <v/>
      </c>
      <c r="E219" s="13"/>
      <c r="F219" s="13"/>
      <c r="G219" s="13"/>
      <c r="H219" s="14"/>
      <c r="I219" s="14"/>
      <c r="J219" s="14"/>
      <c r="K219" s="13"/>
      <c r="L219" s="13"/>
    </row>
    <row r="220" customFormat="false" ht="15" hidden="false" customHeight="false" outlineLevel="0" collapsed="false">
      <c r="A220" s="11"/>
      <c r="B220" s="9"/>
      <c r="C220" s="11" t="str">
        <f aca="false">IF(A220="","",IFERROR(VLOOKUP(A220,Inventory!$A:$D,4,0),"—"))</f>
        <v/>
      </c>
      <c r="D220" s="11" t="str">
        <f aca="false">IF(A220="","",IFERROR(VLOOKUP(A220,Inventory!$A:$E,5,0),"—"))</f>
        <v/>
      </c>
      <c r="E220" s="11"/>
      <c r="F220" s="11"/>
      <c r="G220" s="11"/>
      <c r="H220" s="12"/>
      <c r="I220" s="12"/>
      <c r="J220" s="12"/>
      <c r="K220" s="11"/>
      <c r="L220" s="11"/>
    </row>
    <row r="221" customFormat="false" ht="15" hidden="false" customHeight="false" outlineLevel="0" collapsed="false">
      <c r="A221" s="13"/>
      <c r="B221" s="8"/>
      <c r="C221" s="13" t="str">
        <f aca="false">IF(A221="","",IFERROR(VLOOKUP(A221,Inventory!$A:$D,4,0),"—"))</f>
        <v/>
      </c>
      <c r="D221" s="13" t="str">
        <f aca="false">IF(A221="","",IFERROR(VLOOKUP(A221,Inventory!$A:$E,5,0),"—"))</f>
        <v/>
      </c>
      <c r="E221" s="13"/>
      <c r="F221" s="13"/>
      <c r="G221" s="13"/>
      <c r="H221" s="14"/>
      <c r="I221" s="14"/>
      <c r="J221" s="14"/>
      <c r="K221" s="13"/>
      <c r="L221" s="13"/>
    </row>
    <row r="222" customFormat="false" ht="15" hidden="false" customHeight="false" outlineLevel="0" collapsed="false">
      <c r="A222" s="11"/>
      <c r="B222" s="9"/>
      <c r="C222" s="11" t="str">
        <f aca="false">IF(A222="","",IFERROR(VLOOKUP(A222,Inventory!$A:$D,4,0),"—"))</f>
        <v/>
      </c>
      <c r="D222" s="11" t="str">
        <f aca="false">IF(A222="","",IFERROR(VLOOKUP(A222,Inventory!$A:$E,5,0),"—"))</f>
        <v/>
      </c>
      <c r="E222" s="11"/>
      <c r="F222" s="11"/>
      <c r="G222" s="11"/>
      <c r="H222" s="12"/>
      <c r="I222" s="12"/>
      <c r="J222" s="12"/>
      <c r="K222" s="11"/>
      <c r="L222" s="11"/>
    </row>
    <row r="223" customFormat="false" ht="15" hidden="false" customHeight="false" outlineLevel="0" collapsed="false">
      <c r="A223" s="13"/>
      <c r="B223" s="8"/>
      <c r="C223" s="13" t="str">
        <f aca="false">IF(A223="","",IFERROR(VLOOKUP(A223,Inventory!$A:$D,4,0),"—"))</f>
        <v/>
      </c>
      <c r="D223" s="13" t="str">
        <f aca="false">IF(A223="","",IFERROR(VLOOKUP(A223,Inventory!$A:$E,5,0),"—"))</f>
        <v/>
      </c>
      <c r="E223" s="13"/>
      <c r="F223" s="13"/>
      <c r="G223" s="13"/>
      <c r="H223" s="14"/>
      <c r="I223" s="14"/>
      <c r="J223" s="14"/>
      <c r="K223" s="13"/>
      <c r="L223" s="13"/>
    </row>
    <row r="224" customFormat="false" ht="15" hidden="false" customHeight="false" outlineLevel="0" collapsed="false">
      <c r="A224" s="11"/>
      <c r="B224" s="9"/>
      <c r="C224" s="11" t="str">
        <f aca="false">IF(A224="","",IFERROR(VLOOKUP(A224,Inventory!$A:$D,4,0),"—"))</f>
        <v/>
      </c>
      <c r="D224" s="11" t="str">
        <f aca="false">IF(A224="","",IFERROR(VLOOKUP(A224,Inventory!$A:$E,5,0),"—"))</f>
        <v/>
      </c>
      <c r="E224" s="11"/>
      <c r="F224" s="11"/>
      <c r="G224" s="11"/>
      <c r="H224" s="12"/>
      <c r="I224" s="12"/>
      <c r="J224" s="12"/>
      <c r="K224" s="11"/>
      <c r="L224" s="11"/>
    </row>
    <row r="225" customFormat="false" ht="15" hidden="false" customHeight="false" outlineLevel="0" collapsed="false">
      <c r="A225" s="13"/>
      <c r="B225" s="8"/>
      <c r="C225" s="13" t="str">
        <f aca="false">IF(A225="","",IFERROR(VLOOKUP(A225,Inventory!$A:$D,4,0),"—"))</f>
        <v/>
      </c>
      <c r="D225" s="13" t="str">
        <f aca="false">IF(A225="","",IFERROR(VLOOKUP(A225,Inventory!$A:$E,5,0),"—"))</f>
        <v/>
      </c>
      <c r="E225" s="13"/>
      <c r="F225" s="13"/>
      <c r="G225" s="13"/>
      <c r="H225" s="14"/>
      <c r="I225" s="14"/>
      <c r="J225" s="14"/>
      <c r="K225" s="13"/>
      <c r="L225" s="13"/>
    </row>
    <row r="226" customFormat="false" ht="15" hidden="false" customHeight="false" outlineLevel="0" collapsed="false">
      <c r="A226" s="11"/>
      <c r="B226" s="9"/>
      <c r="C226" s="11" t="str">
        <f aca="false">IF(A226="","",IFERROR(VLOOKUP(A226,Inventory!$A:$D,4,0),"—"))</f>
        <v/>
      </c>
      <c r="D226" s="11" t="str">
        <f aca="false">IF(A226="","",IFERROR(VLOOKUP(A226,Inventory!$A:$E,5,0),"—"))</f>
        <v/>
      </c>
      <c r="E226" s="11"/>
      <c r="F226" s="11"/>
      <c r="G226" s="11"/>
      <c r="H226" s="12"/>
      <c r="I226" s="12"/>
      <c r="J226" s="12"/>
      <c r="K226" s="11"/>
      <c r="L226" s="11"/>
    </row>
    <row r="227" customFormat="false" ht="15" hidden="false" customHeight="false" outlineLevel="0" collapsed="false">
      <c r="A227" s="13"/>
      <c r="B227" s="8"/>
      <c r="C227" s="13" t="str">
        <f aca="false">IF(A227="","",IFERROR(VLOOKUP(A227,Inventory!$A:$D,4,0),"—"))</f>
        <v/>
      </c>
      <c r="D227" s="13" t="str">
        <f aca="false">IF(A227="","",IFERROR(VLOOKUP(A227,Inventory!$A:$E,5,0),"—"))</f>
        <v/>
      </c>
      <c r="E227" s="13"/>
      <c r="F227" s="13"/>
      <c r="G227" s="13"/>
      <c r="H227" s="14"/>
      <c r="I227" s="14"/>
      <c r="J227" s="14"/>
      <c r="K227" s="13"/>
      <c r="L227" s="13"/>
    </row>
    <row r="228" customFormat="false" ht="15" hidden="false" customHeight="false" outlineLevel="0" collapsed="false">
      <c r="A228" s="11"/>
      <c r="B228" s="9"/>
      <c r="C228" s="11" t="str">
        <f aca="false">IF(A228="","",IFERROR(VLOOKUP(A228,Inventory!$A:$D,4,0),"—"))</f>
        <v/>
      </c>
      <c r="D228" s="11" t="str">
        <f aca="false">IF(A228="","",IFERROR(VLOOKUP(A228,Inventory!$A:$E,5,0),"—"))</f>
        <v/>
      </c>
      <c r="E228" s="11"/>
      <c r="F228" s="11"/>
      <c r="G228" s="11"/>
      <c r="H228" s="12"/>
      <c r="I228" s="12"/>
      <c r="J228" s="12"/>
      <c r="K228" s="11"/>
      <c r="L228" s="11"/>
    </row>
    <row r="229" customFormat="false" ht="15" hidden="false" customHeight="false" outlineLevel="0" collapsed="false">
      <c r="A229" s="13"/>
      <c r="B229" s="8"/>
      <c r="C229" s="13" t="str">
        <f aca="false">IF(A229="","",IFERROR(VLOOKUP(A229,Inventory!$A:$D,4,0),"—"))</f>
        <v/>
      </c>
      <c r="D229" s="13" t="str">
        <f aca="false">IF(A229="","",IFERROR(VLOOKUP(A229,Inventory!$A:$E,5,0),"—"))</f>
        <v/>
      </c>
      <c r="E229" s="13"/>
      <c r="F229" s="13"/>
      <c r="G229" s="13"/>
      <c r="H229" s="14"/>
      <c r="I229" s="14"/>
      <c r="J229" s="14"/>
      <c r="K229" s="13"/>
      <c r="L229" s="13"/>
    </row>
    <row r="230" customFormat="false" ht="15" hidden="false" customHeight="false" outlineLevel="0" collapsed="false">
      <c r="A230" s="11"/>
      <c r="B230" s="9"/>
      <c r="C230" s="11" t="str">
        <f aca="false">IF(A230="","",IFERROR(VLOOKUP(A230,Inventory!$A:$D,4,0),"—"))</f>
        <v/>
      </c>
      <c r="D230" s="11" t="str">
        <f aca="false">IF(A230="","",IFERROR(VLOOKUP(A230,Inventory!$A:$E,5,0),"—"))</f>
        <v/>
      </c>
      <c r="E230" s="11"/>
      <c r="F230" s="11"/>
      <c r="G230" s="11"/>
      <c r="H230" s="12"/>
      <c r="I230" s="12"/>
      <c r="J230" s="12"/>
      <c r="K230" s="11"/>
      <c r="L230" s="11"/>
    </row>
    <row r="231" customFormat="false" ht="15" hidden="false" customHeight="false" outlineLevel="0" collapsed="false">
      <c r="A231" s="13"/>
      <c r="B231" s="8"/>
      <c r="C231" s="13" t="str">
        <f aca="false">IF(A231="","",IFERROR(VLOOKUP(A231,Inventory!$A:$D,4,0),"—"))</f>
        <v/>
      </c>
      <c r="D231" s="13" t="str">
        <f aca="false">IF(A231="","",IFERROR(VLOOKUP(A231,Inventory!$A:$E,5,0),"—"))</f>
        <v/>
      </c>
      <c r="E231" s="13"/>
      <c r="F231" s="13"/>
      <c r="G231" s="13"/>
      <c r="H231" s="14"/>
      <c r="I231" s="14"/>
      <c r="J231" s="14"/>
      <c r="K231" s="13"/>
      <c r="L231" s="13"/>
    </row>
    <row r="232" customFormat="false" ht="15" hidden="false" customHeight="false" outlineLevel="0" collapsed="false">
      <c r="A232" s="11"/>
      <c r="B232" s="9"/>
      <c r="C232" s="11" t="str">
        <f aca="false">IF(A232="","",IFERROR(VLOOKUP(A232,Inventory!$A:$D,4,0),"—"))</f>
        <v/>
      </c>
      <c r="D232" s="11" t="str">
        <f aca="false">IF(A232="","",IFERROR(VLOOKUP(A232,Inventory!$A:$E,5,0),"—"))</f>
        <v/>
      </c>
      <c r="E232" s="11"/>
      <c r="F232" s="11"/>
      <c r="G232" s="11"/>
      <c r="H232" s="12"/>
      <c r="I232" s="12"/>
      <c r="J232" s="12"/>
      <c r="K232" s="11"/>
      <c r="L232" s="11"/>
    </row>
    <row r="233" customFormat="false" ht="15" hidden="false" customHeight="false" outlineLevel="0" collapsed="false">
      <c r="A233" s="13"/>
      <c r="B233" s="8"/>
      <c r="C233" s="13" t="str">
        <f aca="false">IF(A233="","",IFERROR(VLOOKUP(A233,Inventory!$A:$D,4,0),"—"))</f>
        <v/>
      </c>
      <c r="D233" s="13" t="str">
        <f aca="false">IF(A233="","",IFERROR(VLOOKUP(A233,Inventory!$A:$E,5,0),"—"))</f>
        <v/>
      </c>
      <c r="E233" s="13"/>
      <c r="F233" s="13"/>
      <c r="G233" s="13"/>
      <c r="H233" s="14"/>
      <c r="I233" s="14"/>
      <c r="J233" s="14"/>
      <c r="K233" s="13"/>
      <c r="L233" s="13"/>
    </row>
    <row r="234" customFormat="false" ht="15" hidden="false" customHeight="false" outlineLevel="0" collapsed="false">
      <c r="A234" s="11"/>
      <c r="B234" s="9"/>
      <c r="C234" s="11" t="str">
        <f aca="false">IF(A234="","",IFERROR(VLOOKUP(A234,Inventory!$A:$D,4,0),"—"))</f>
        <v/>
      </c>
      <c r="D234" s="11" t="str">
        <f aca="false">IF(A234="","",IFERROR(VLOOKUP(A234,Inventory!$A:$E,5,0),"—"))</f>
        <v/>
      </c>
      <c r="E234" s="11"/>
      <c r="F234" s="11"/>
      <c r="G234" s="11"/>
      <c r="H234" s="12"/>
      <c r="I234" s="12"/>
      <c r="J234" s="12"/>
      <c r="K234" s="11"/>
      <c r="L234" s="11"/>
    </row>
    <row r="235" customFormat="false" ht="15" hidden="false" customHeight="false" outlineLevel="0" collapsed="false">
      <c r="A235" s="13"/>
      <c r="B235" s="8"/>
      <c r="C235" s="13" t="str">
        <f aca="false">IF(A235="","",IFERROR(VLOOKUP(A235,Inventory!$A:$D,4,0),"—"))</f>
        <v/>
      </c>
      <c r="D235" s="13" t="str">
        <f aca="false">IF(A235="","",IFERROR(VLOOKUP(A235,Inventory!$A:$E,5,0),"—"))</f>
        <v/>
      </c>
      <c r="E235" s="13"/>
      <c r="F235" s="13"/>
      <c r="G235" s="13"/>
      <c r="H235" s="14"/>
      <c r="I235" s="14"/>
      <c r="J235" s="14"/>
      <c r="K235" s="13"/>
      <c r="L235" s="13"/>
    </row>
    <row r="236" customFormat="false" ht="15" hidden="false" customHeight="false" outlineLevel="0" collapsed="false">
      <c r="A236" s="11"/>
      <c r="B236" s="9"/>
      <c r="C236" s="11" t="str">
        <f aca="false">IF(A236="","",IFERROR(VLOOKUP(A236,Inventory!$A:$D,4,0),"—"))</f>
        <v/>
      </c>
      <c r="D236" s="11" t="str">
        <f aca="false">IF(A236="","",IFERROR(VLOOKUP(A236,Inventory!$A:$E,5,0),"—"))</f>
        <v/>
      </c>
      <c r="E236" s="11"/>
      <c r="F236" s="11"/>
      <c r="G236" s="11"/>
      <c r="H236" s="12"/>
      <c r="I236" s="12"/>
      <c r="J236" s="12"/>
      <c r="K236" s="11"/>
      <c r="L236" s="11"/>
    </row>
    <row r="237" customFormat="false" ht="15" hidden="false" customHeight="false" outlineLevel="0" collapsed="false">
      <c r="A237" s="13"/>
      <c r="B237" s="8"/>
      <c r="C237" s="13" t="str">
        <f aca="false">IF(A237="","",IFERROR(VLOOKUP(A237,Inventory!$A:$D,4,0),"—"))</f>
        <v/>
      </c>
      <c r="D237" s="13" t="str">
        <f aca="false">IF(A237="","",IFERROR(VLOOKUP(A237,Inventory!$A:$E,5,0),"—"))</f>
        <v/>
      </c>
      <c r="E237" s="13"/>
      <c r="F237" s="13"/>
      <c r="G237" s="13"/>
      <c r="H237" s="14"/>
      <c r="I237" s="14"/>
      <c r="J237" s="14"/>
      <c r="K237" s="13"/>
      <c r="L237" s="13"/>
    </row>
    <row r="238" customFormat="false" ht="15" hidden="false" customHeight="false" outlineLevel="0" collapsed="false">
      <c r="A238" s="11"/>
      <c r="B238" s="9"/>
      <c r="C238" s="11" t="str">
        <f aca="false">IF(A238="","",IFERROR(VLOOKUP(A238,Inventory!$A:$D,4,0),"—"))</f>
        <v/>
      </c>
      <c r="D238" s="11" t="str">
        <f aca="false">IF(A238="","",IFERROR(VLOOKUP(A238,Inventory!$A:$E,5,0),"—"))</f>
        <v/>
      </c>
      <c r="E238" s="11"/>
      <c r="F238" s="11"/>
      <c r="G238" s="11"/>
      <c r="H238" s="12"/>
      <c r="I238" s="12"/>
      <c r="J238" s="12"/>
      <c r="K238" s="11"/>
      <c r="L238" s="11"/>
    </row>
    <row r="239" customFormat="false" ht="15" hidden="false" customHeight="false" outlineLevel="0" collapsed="false">
      <c r="A239" s="13"/>
      <c r="B239" s="8"/>
      <c r="C239" s="13" t="str">
        <f aca="false">IF(A239="","",IFERROR(VLOOKUP(A239,Inventory!$A:$D,4,0),"—"))</f>
        <v/>
      </c>
      <c r="D239" s="13" t="str">
        <f aca="false">IF(A239="","",IFERROR(VLOOKUP(A239,Inventory!$A:$E,5,0),"—"))</f>
        <v/>
      </c>
      <c r="E239" s="13"/>
      <c r="F239" s="13"/>
      <c r="G239" s="13"/>
      <c r="H239" s="14"/>
      <c r="I239" s="14"/>
      <c r="J239" s="14"/>
      <c r="K239" s="13"/>
      <c r="L239" s="13"/>
    </row>
    <row r="240" customFormat="false" ht="15" hidden="false" customHeight="false" outlineLevel="0" collapsed="false">
      <c r="A240" s="11"/>
      <c r="B240" s="9"/>
      <c r="C240" s="11" t="str">
        <f aca="false">IF(A240="","",IFERROR(VLOOKUP(A240,Inventory!$A:$D,4,0),"—"))</f>
        <v/>
      </c>
      <c r="D240" s="11" t="str">
        <f aca="false">IF(A240="","",IFERROR(VLOOKUP(A240,Inventory!$A:$E,5,0),"—"))</f>
        <v/>
      </c>
      <c r="E240" s="11"/>
      <c r="F240" s="11"/>
      <c r="G240" s="11"/>
      <c r="H240" s="12"/>
      <c r="I240" s="12"/>
      <c r="J240" s="12"/>
      <c r="K240" s="11"/>
      <c r="L240" s="11"/>
    </row>
    <row r="241" customFormat="false" ht="15" hidden="false" customHeight="false" outlineLevel="0" collapsed="false">
      <c r="A241" s="13"/>
      <c r="B241" s="8"/>
      <c r="C241" s="13" t="str">
        <f aca="false">IF(A241="","",IFERROR(VLOOKUP(A241,Inventory!$A:$D,4,0),"—"))</f>
        <v/>
      </c>
      <c r="D241" s="13" t="str">
        <f aca="false">IF(A241="","",IFERROR(VLOOKUP(A241,Inventory!$A:$E,5,0),"—"))</f>
        <v/>
      </c>
      <c r="E241" s="13"/>
      <c r="F241" s="13"/>
      <c r="G241" s="13"/>
      <c r="H241" s="14"/>
      <c r="I241" s="14"/>
      <c r="J241" s="14"/>
      <c r="K241" s="13"/>
      <c r="L241" s="13"/>
    </row>
    <row r="242" customFormat="false" ht="15" hidden="false" customHeight="false" outlineLevel="0" collapsed="false">
      <c r="A242" s="11"/>
      <c r="B242" s="9"/>
      <c r="C242" s="11" t="str">
        <f aca="false">IF(A242="","",IFERROR(VLOOKUP(A242,Inventory!$A:$D,4,0),"—"))</f>
        <v/>
      </c>
      <c r="D242" s="11" t="str">
        <f aca="false">IF(A242="","",IFERROR(VLOOKUP(A242,Inventory!$A:$E,5,0),"—"))</f>
        <v/>
      </c>
      <c r="E242" s="11"/>
      <c r="F242" s="11"/>
      <c r="G242" s="11"/>
      <c r="H242" s="12"/>
      <c r="I242" s="12"/>
      <c r="J242" s="12"/>
      <c r="K242" s="11"/>
      <c r="L242" s="11"/>
    </row>
    <row r="243" customFormat="false" ht="15" hidden="false" customHeight="false" outlineLevel="0" collapsed="false">
      <c r="A243" s="13"/>
      <c r="B243" s="8"/>
      <c r="C243" s="13" t="str">
        <f aca="false">IF(A243="","",IFERROR(VLOOKUP(A243,Inventory!$A:$D,4,0),"—"))</f>
        <v/>
      </c>
      <c r="D243" s="13" t="str">
        <f aca="false">IF(A243="","",IFERROR(VLOOKUP(A243,Inventory!$A:$E,5,0),"—"))</f>
        <v/>
      </c>
      <c r="E243" s="13"/>
      <c r="F243" s="13"/>
      <c r="G243" s="13"/>
      <c r="H243" s="14"/>
      <c r="I243" s="14"/>
      <c r="J243" s="14"/>
      <c r="K243" s="13"/>
      <c r="L243" s="13"/>
    </row>
    <row r="244" customFormat="false" ht="15" hidden="false" customHeight="false" outlineLevel="0" collapsed="false">
      <c r="A244" s="11"/>
      <c r="B244" s="9"/>
      <c r="C244" s="11" t="str">
        <f aca="false">IF(A244="","",IFERROR(VLOOKUP(A244,Inventory!$A:$D,4,0),"—"))</f>
        <v/>
      </c>
      <c r="D244" s="11" t="str">
        <f aca="false">IF(A244="","",IFERROR(VLOOKUP(A244,Inventory!$A:$E,5,0),"—"))</f>
        <v/>
      </c>
      <c r="E244" s="11"/>
      <c r="F244" s="11"/>
      <c r="G244" s="11"/>
      <c r="H244" s="12"/>
      <c r="I244" s="12"/>
      <c r="J244" s="12"/>
      <c r="K244" s="11"/>
      <c r="L244" s="11"/>
    </row>
    <row r="245" customFormat="false" ht="15" hidden="false" customHeight="false" outlineLevel="0" collapsed="false">
      <c r="A245" s="13"/>
      <c r="B245" s="8"/>
      <c r="C245" s="13" t="str">
        <f aca="false">IF(A245="","",IFERROR(VLOOKUP(A245,Inventory!$A:$D,4,0),"—"))</f>
        <v/>
      </c>
      <c r="D245" s="13" t="str">
        <f aca="false">IF(A245="","",IFERROR(VLOOKUP(A245,Inventory!$A:$E,5,0),"—"))</f>
        <v/>
      </c>
      <c r="E245" s="13"/>
      <c r="F245" s="13"/>
      <c r="G245" s="13"/>
      <c r="H245" s="14"/>
      <c r="I245" s="14"/>
      <c r="J245" s="14"/>
      <c r="K245" s="13"/>
      <c r="L245" s="13"/>
    </row>
    <row r="246" customFormat="false" ht="15" hidden="false" customHeight="false" outlineLevel="0" collapsed="false">
      <c r="A246" s="11"/>
      <c r="B246" s="9"/>
      <c r="C246" s="11" t="str">
        <f aca="false">IF(A246="","",IFERROR(VLOOKUP(A246,Inventory!$A:$D,4,0),"—"))</f>
        <v/>
      </c>
      <c r="D246" s="11" t="str">
        <f aca="false">IF(A246="","",IFERROR(VLOOKUP(A246,Inventory!$A:$E,5,0),"—"))</f>
        <v/>
      </c>
      <c r="E246" s="11"/>
      <c r="F246" s="11"/>
      <c r="G246" s="11"/>
      <c r="H246" s="12"/>
      <c r="I246" s="12"/>
      <c r="J246" s="12"/>
      <c r="K246" s="11"/>
      <c r="L246" s="11"/>
    </row>
    <row r="247" customFormat="false" ht="15" hidden="false" customHeight="false" outlineLevel="0" collapsed="false">
      <c r="A247" s="13"/>
      <c r="B247" s="8"/>
      <c r="C247" s="13" t="str">
        <f aca="false">IF(A247="","",IFERROR(VLOOKUP(A247,Inventory!$A:$D,4,0),"—"))</f>
        <v/>
      </c>
      <c r="D247" s="13" t="str">
        <f aca="false">IF(A247="","",IFERROR(VLOOKUP(A247,Inventory!$A:$E,5,0),"—"))</f>
        <v/>
      </c>
      <c r="E247" s="13"/>
      <c r="F247" s="13"/>
      <c r="G247" s="13"/>
      <c r="H247" s="14"/>
      <c r="I247" s="14"/>
      <c r="J247" s="14"/>
      <c r="K247" s="13"/>
      <c r="L247" s="13"/>
    </row>
    <row r="248" customFormat="false" ht="15" hidden="false" customHeight="false" outlineLevel="0" collapsed="false">
      <c r="A248" s="11"/>
      <c r="B248" s="9"/>
      <c r="C248" s="11" t="str">
        <f aca="false">IF(A248="","",IFERROR(VLOOKUP(A248,Inventory!$A:$D,4,0),"—"))</f>
        <v/>
      </c>
      <c r="D248" s="11" t="str">
        <f aca="false">IF(A248="","",IFERROR(VLOOKUP(A248,Inventory!$A:$E,5,0),"—"))</f>
        <v/>
      </c>
      <c r="E248" s="11"/>
      <c r="F248" s="11"/>
      <c r="G248" s="11"/>
      <c r="H248" s="12"/>
      <c r="I248" s="12"/>
      <c r="J248" s="12"/>
      <c r="K248" s="11"/>
      <c r="L248" s="11"/>
    </row>
    <row r="249" customFormat="false" ht="15" hidden="false" customHeight="false" outlineLevel="0" collapsed="false">
      <c r="A249" s="13"/>
      <c r="B249" s="8"/>
      <c r="C249" s="13" t="str">
        <f aca="false">IF(A249="","",IFERROR(VLOOKUP(A249,Inventory!$A:$D,4,0),"—"))</f>
        <v/>
      </c>
      <c r="D249" s="13" t="str">
        <f aca="false">IF(A249="","",IFERROR(VLOOKUP(A249,Inventory!$A:$E,5,0),"—"))</f>
        <v/>
      </c>
      <c r="E249" s="13"/>
      <c r="F249" s="13"/>
      <c r="G249" s="13"/>
      <c r="H249" s="14"/>
      <c r="I249" s="14"/>
      <c r="J249" s="14"/>
      <c r="K249" s="13"/>
      <c r="L249" s="13"/>
    </row>
    <row r="250" customFormat="false" ht="15" hidden="false" customHeight="false" outlineLevel="0" collapsed="false">
      <c r="A250" s="11"/>
      <c r="B250" s="9"/>
      <c r="C250" s="11" t="str">
        <f aca="false">IF(A250="","",IFERROR(VLOOKUP(A250,Inventory!$A:$D,4,0),"—"))</f>
        <v/>
      </c>
      <c r="D250" s="11" t="str">
        <f aca="false">IF(A250="","",IFERROR(VLOOKUP(A250,Inventory!$A:$E,5,0),"—"))</f>
        <v/>
      </c>
      <c r="E250" s="11"/>
      <c r="F250" s="11"/>
      <c r="G250" s="11"/>
      <c r="H250" s="12"/>
      <c r="I250" s="12"/>
      <c r="J250" s="12"/>
      <c r="K250" s="11"/>
      <c r="L250" s="11"/>
    </row>
    <row r="251" customFormat="false" ht="15" hidden="false" customHeight="false" outlineLevel="0" collapsed="false">
      <c r="A251" s="13"/>
      <c r="B251" s="8"/>
      <c r="C251" s="13" t="str">
        <f aca="false">IF(A251="","",IFERROR(VLOOKUP(A251,Inventory!$A:$D,4,0),"—"))</f>
        <v/>
      </c>
      <c r="D251" s="13" t="str">
        <f aca="false">IF(A251="","",IFERROR(VLOOKUP(A251,Inventory!$A:$E,5,0),"—"))</f>
        <v/>
      </c>
      <c r="E251" s="13"/>
      <c r="F251" s="13"/>
      <c r="G251" s="13"/>
      <c r="H251" s="14"/>
      <c r="I251" s="14"/>
      <c r="J251" s="14"/>
      <c r="K251" s="13"/>
      <c r="L251" s="13"/>
    </row>
    <row r="252" customFormat="false" ht="15" hidden="false" customHeight="false" outlineLevel="0" collapsed="false">
      <c r="A252" s="11"/>
      <c r="B252" s="9"/>
      <c r="C252" s="11" t="str">
        <f aca="false">IF(A252="","",IFERROR(VLOOKUP(A252,Inventory!$A:$D,4,0),"—"))</f>
        <v/>
      </c>
      <c r="D252" s="11" t="str">
        <f aca="false">IF(A252="","",IFERROR(VLOOKUP(A252,Inventory!$A:$E,5,0),"—"))</f>
        <v/>
      </c>
      <c r="E252" s="11"/>
      <c r="F252" s="11"/>
      <c r="G252" s="11"/>
      <c r="H252" s="12"/>
      <c r="I252" s="12"/>
      <c r="J252" s="12"/>
      <c r="K252" s="11"/>
      <c r="L252" s="11"/>
    </row>
    <row r="253" customFormat="false" ht="15" hidden="false" customHeight="false" outlineLevel="0" collapsed="false">
      <c r="A253" s="13"/>
      <c r="B253" s="8"/>
      <c r="C253" s="13" t="str">
        <f aca="false">IF(A253="","",IFERROR(VLOOKUP(A253,Inventory!$A:$D,4,0),"—"))</f>
        <v/>
      </c>
      <c r="D253" s="13" t="str">
        <f aca="false">IF(A253="","",IFERROR(VLOOKUP(A253,Inventory!$A:$E,5,0),"—"))</f>
        <v/>
      </c>
      <c r="E253" s="13"/>
      <c r="F253" s="13"/>
      <c r="G253" s="13"/>
      <c r="H253" s="14"/>
      <c r="I253" s="14"/>
      <c r="J253" s="14"/>
      <c r="K253" s="13"/>
      <c r="L253" s="13"/>
    </row>
    <row r="254" customFormat="false" ht="15" hidden="false" customHeight="false" outlineLevel="0" collapsed="false">
      <c r="A254" s="11"/>
      <c r="B254" s="9"/>
      <c r="C254" s="11" t="str">
        <f aca="false">IF(A254="","",IFERROR(VLOOKUP(A254,Inventory!$A:$D,4,0),"—"))</f>
        <v/>
      </c>
      <c r="D254" s="11" t="str">
        <f aca="false">IF(A254="","",IFERROR(VLOOKUP(A254,Inventory!$A:$E,5,0),"—"))</f>
        <v/>
      </c>
      <c r="E254" s="11"/>
      <c r="F254" s="11"/>
      <c r="G254" s="11"/>
      <c r="H254" s="12"/>
      <c r="I254" s="12"/>
      <c r="J254" s="12"/>
      <c r="K254" s="11"/>
      <c r="L254" s="11"/>
    </row>
    <row r="255" customFormat="false" ht="15" hidden="false" customHeight="false" outlineLevel="0" collapsed="false">
      <c r="A255" s="13"/>
      <c r="B255" s="8"/>
      <c r="C255" s="13" t="str">
        <f aca="false">IF(A255="","",IFERROR(VLOOKUP(A255,Inventory!$A:$D,4,0),"—"))</f>
        <v/>
      </c>
      <c r="D255" s="13" t="str">
        <f aca="false">IF(A255="","",IFERROR(VLOOKUP(A255,Inventory!$A:$E,5,0),"—"))</f>
        <v/>
      </c>
      <c r="E255" s="13"/>
      <c r="F255" s="13"/>
      <c r="G255" s="13"/>
      <c r="H255" s="14"/>
      <c r="I255" s="14"/>
      <c r="J255" s="14"/>
      <c r="K255" s="13"/>
      <c r="L255" s="13"/>
    </row>
    <row r="256" customFormat="false" ht="15" hidden="false" customHeight="false" outlineLevel="0" collapsed="false">
      <c r="A256" s="11"/>
      <c r="B256" s="9"/>
      <c r="C256" s="11" t="str">
        <f aca="false">IF(A256="","",IFERROR(VLOOKUP(A256,Inventory!$A:$D,4,0),"—"))</f>
        <v/>
      </c>
      <c r="D256" s="11" t="str">
        <f aca="false">IF(A256="","",IFERROR(VLOOKUP(A256,Inventory!$A:$E,5,0),"—"))</f>
        <v/>
      </c>
      <c r="E256" s="11"/>
      <c r="F256" s="11"/>
      <c r="G256" s="11"/>
      <c r="H256" s="12"/>
      <c r="I256" s="12"/>
      <c r="J256" s="12"/>
      <c r="K256" s="11"/>
      <c r="L256" s="11"/>
    </row>
    <row r="257" customFormat="false" ht="15" hidden="false" customHeight="false" outlineLevel="0" collapsed="false">
      <c r="A257" s="13"/>
      <c r="B257" s="8"/>
      <c r="C257" s="13" t="str">
        <f aca="false">IF(A257="","",IFERROR(VLOOKUP(A257,Inventory!$A:$D,4,0),"—"))</f>
        <v/>
      </c>
      <c r="D257" s="13" t="str">
        <f aca="false">IF(A257="","",IFERROR(VLOOKUP(A257,Inventory!$A:$E,5,0),"—"))</f>
        <v/>
      </c>
      <c r="E257" s="13"/>
      <c r="F257" s="13"/>
      <c r="G257" s="13"/>
      <c r="H257" s="14"/>
      <c r="I257" s="14"/>
      <c r="J257" s="14"/>
      <c r="K257" s="13"/>
      <c r="L257" s="13"/>
    </row>
    <row r="258" customFormat="false" ht="15" hidden="false" customHeight="false" outlineLevel="0" collapsed="false">
      <c r="A258" s="11"/>
      <c r="B258" s="9"/>
      <c r="C258" s="11" t="str">
        <f aca="false">IF(A258="","",IFERROR(VLOOKUP(A258,Inventory!$A:$D,4,0),"—"))</f>
        <v/>
      </c>
      <c r="D258" s="11" t="str">
        <f aca="false">IF(A258="","",IFERROR(VLOOKUP(A258,Inventory!$A:$E,5,0),"—"))</f>
        <v/>
      </c>
      <c r="E258" s="11"/>
      <c r="F258" s="11"/>
      <c r="G258" s="11"/>
      <c r="H258" s="12"/>
      <c r="I258" s="12"/>
      <c r="J258" s="12"/>
      <c r="K258" s="11"/>
      <c r="L258" s="11"/>
    </row>
    <row r="259" customFormat="false" ht="15" hidden="false" customHeight="false" outlineLevel="0" collapsed="false">
      <c r="A259" s="13"/>
      <c r="B259" s="8"/>
      <c r="C259" s="13" t="str">
        <f aca="false">IF(A259="","",IFERROR(VLOOKUP(A259,Inventory!$A:$D,4,0),"—"))</f>
        <v/>
      </c>
      <c r="D259" s="13" t="str">
        <f aca="false">IF(A259="","",IFERROR(VLOOKUP(A259,Inventory!$A:$E,5,0),"—"))</f>
        <v/>
      </c>
      <c r="E259" s="13"/>
      <c r="F259" s="13"/>
      <c r="G259" s="13"/>
      <c r="H259" s="14"/>
      <c r="I259" s="14"/>
      <c r="J259" s="14"/>
      <c r="K259" s="13"/>
      <c r="L259" s="13"/>
    </row>
    <row r="260" customFormat="false" ht="15" hidden="false" customHeight="false" outlineLevel="0" collapsed="false">
      <c r="A260" s="11"/>
      <c r="B260" s="9"/>
      <c r="C260" s="11" t="str">
        <f aca="false">IF(A260="","",IFERROR(VLOOKUP(A260,Inventory!$A:$D,4,0),"—"))</f>
        <v/>
      </c>
      <c r="D260" s="11" t="str">
        <f aca="false">IF(A260="","",IFERROR(VLOOKUP(A260,Inventory!$A:$E,5,0),"—"))</f>
        <v/>
      </c>
      <c r="E260" s="11"/>
      <c r="F260" s="11"/>
      <c r="G260" s="11"/>
      <c r="H260" s="12"/>
      <c r="I260" s="12"/>
      <c r="J260" s="12"/>
      <c r="K260" s="11"/>
      <c r="L260" s="11"/>
    </row>
    <row r="261" customFormat="false" ht="15" hidden="false" customHeight="false" outlineLevel="0" collapsed="false">
      <c r="A261" s="13"/>
      <c r="B261" s="8"/>
      <c r="C261" s="13" t="str">
        <f aca="false">IF(A261="","",IFERROR(VLOOKUP(A261,Inventory!$A:$D,4,0),"—"))</f>
        <v/>
      </c>
      <c r="D261" s="13" t="str">
        <f aca="false">IF(A261="","",IFERROR(VLOOKUP(A261,Inventory!$A:$E,5,0),"—"))</f>
        <v/>
      </c>
      <c r="E261" s="13"/>
      <c r="F261" s="13"/>
      <c r="G261" s="13"/>
      <c r="H261" s="14"/>
      <c r="I261" s="14"/>
      <c r="J261" s="14"/>
      <c r="K261" s="13"/>
      <c r="L261" s="13"/>
    </row>
    <row r="262" customFormat="false" ht="15" hidden="false" customHeight="false" outlineLevel="0" collapsed="false">
      <c r="A262" s="11"/>
      <c r="B262" s="9"/>
      <c r="C262" s="11" t="str">
        <f aca="false">IF(A262="","",IFERROR(VLOOKUP(A262,Inventory!$A:$D,4,0),"—"))</f>
        <v/>
      </c>
      <c r="D262" s="11" t="str">
        <f aca="false">IF(A262="","",IFERROR(VLOOKUP(A262,Inventory!$A:$E,5,0),"—"))</f>
        <v/>
      </c>
      <c r="E262" s="11"/>
      <c r="F262" s="11"/>
      <c r="G262" s="11"/>
      <c r="H262" s="12"/>
      <c r="I262" s="12"/>
      <c r="J262" s="12"/>
      <c r="K262" s="11"/>
      <c r="L262" s="11"/>
    </row>
    <row r="263" customFormat="false" ht="15" hidden="false" customHeight="false" outlineLevel="0" collapsed="false">
      <c r="A263" s="13"/>
      <c r="B263" s="8"/>
      <c r="C263" s="13" t="str">
        <f aca="false">IF(A263="","",IFERROR(VLOOKUP(A263,Inventory!$A:$D,4,0),"—"))</f>
        <v/>
      </c>
      <c r="D263" s="13" t="str">
        <f aca="false">IF(A263="","",IFERROR(VLOOKUP(A263,Inventory!$A:$E,5,0),"—"))</f>
        <v/>
      </c>
      <c r="E263" s="13"/>
      <c r="F263" s="13"/>
      <c r="G263" s="13"/>
      <c r="H263" s="14"/>
      <c r="I263" s="14"/>
      <c r="J263" s="14"/>
      <c r="K263" s="13"/>
      <c r="L263" s="13"/>
    </row>
    <row r="264" customFormat="false" ht="15" hidden="false" customHeight="false" outlineLevel="0" collapsed="false">
      <c r="A264" s="11"/>
      <c r="B264" s="9"/>
      <c r="C264" s="11" t="str">
        <f aca="false">IF(A264="","",IFERROR(VLOOKUP(A264,Inventory!$A:$D,4,0),"—"))</f>
        <v/>
      </c>
      <c r="D264" s="11" t="str">
        <f aca="false">IF(A264="","",IFERROR(VLOOKUP(A264,Inventory!$A:$E,5,0),"—"))</f>
        <v/>
      </c>
      <c r="E264" s="11"/>
      <c r="F264" s="11"/>
      <c r="G264" s="11"/>
      <c r="H264" s="12"/>
      <c r="I264" s="12"/>
      <c r="J264" s="12"/>
      <c r="K264" s="11"/>
      <c r="L264" s="11"/>
    </row>
    <row r="265" customFormat="false" ht="15" hidden="false" customHeight="false" outlineLevel="0" collapsed="false">
      <c r="A265" s="13"/>
      <c r="B265" s="8"/>
      <c r="C265" s="13" t="str">
        <f aca="false">IF(A265="","",IFERROR(VLOOKUP(A265,Inventory!$A:$D,4,0),"—"))</f>
        <v/>
      </c>
      <c r="D265" s="13" t="str">
        <f aca="false">IF(A265="","",IFERROR(VLOOKUP(A265,Inventory!$A:$E,5,0),"—"))</f>
        <v/>
      </c>
      <c r="E265" s="13"/>
      <c r="F265" s="13"/>
      <c r="G265" s="13"/>
      <c r="H265" s="14"/>
      <c r="I265" s="14"/>
      <c r="J265" s="14"/>
      <c r="K265" s="13"/>
      <c r="L265" s="13"/>
    </row>
    <row r="266" customFormat="false" ht="15" hidden="false" customHeight="false" outlineLevel="0" collapsed="false">
      <c r="A266" s="11"/>
      <c r="B266" s="9"/>
      <c r="C266" s="11" t="str">
        <f aca="false">IF(A266="","",IFERROR(VLOOKUP(A266,Inventory!$A:$D,4,0),"—"))</f>
        <v/>
      </c>
      <c r="D266" s="11" t="str">
        <f aca="false">IF(A266="","",IFERROR(VLOOKUP(A266,Inventory!$A:$E,5,0),"—"))</f>
        <v/>
      </c>
      <c r="E266" s="11"/>
      <c r="F266" s="11"/>
      <c r="G266" s="11"/>
      <c r="H266" s="12"/>
      <c r="I266" s="12"/>
      <c r="J266" s="12"/>
      <c r="K266" s="11"/>
      <c r="L266" s="11"/>
    </row>
    <row r="267" customFormat="false" ht="15" hidden="false" customHeight="false" outlineLevel="0" collapsed="false">
      <c r="A267" s="13"/>
      <c r="B267" s="8"/>
      <c r="C267" s="13" t="str">
        <f aca="false">IF(A267="","",IFERROR(VLOOKUP(A267,Inventory!$A:$D,4,0),"—"))</f>
        <v/>
      </c>
      <c r="D267" s="13" t="str">
        <f aca="false">IF(A267="","",IFERROR(VLOOKUP(A267,Inventory!$A:$E,5,0),"—"))</f>
        <v/>
      </c>
      <c r="E267" s="13"/>
      <c r="F267" s="13"/>
      <c r="G267" s="13"/>
      <c r="H267" s="14"/>
      <c r="I267" s="14"/>
      <c r="J267" s="14"/>
      <c r="K267" s="13"/>
      <c r="L267" s="13"/>
    </row>
    <row r="268" customFormat="false" ht="15" hidden="false" customHeight="false" outlineLevel="0" collapsed="false">
      <c r="A268" s="11"/>
      <c r="B268" s="9"/>
      <c r="C268" s="11" t="str">
        <f aca="false">IF(A268="","",IFERROR(VLOOKUP(A268,Inventory!$A:$D,4,0),"—"))</f>
        <v/>
      </c>
      <c r="D268" s="11" t="str">
        <f aca="false">IF(A268="","",IFERROR(VLOOKUP(A268,Inventory!$A:$E,5,0),"—"))</f>
        <v/>
      </c>
      <c r="E268" s="11"/>
      <c r="F268" s="11"/>
      <c r="G268" s="11"/>
      <c r="H268" s="12"/>
      <c r="I268" s="12"/>
      <c r="J268" s="12"/>
      <c r="K268" s="11"/>
      <c r="L268" s="11"/>
    </row>
    <row r="269" customFormat="false" ht="15" hidden="false" customHeight="false" outlineLevel="0" collapsed="false">
      <c r="A269" s="13"/>
      <c r="B269" s="8"/>
      <c r="C269" s="13" t="str">
        <f aca="false">IF(A269="","",IFERROR(VLOOKUP(A269,Inventory!$A:$D,4,0),"—"))</f>
        <v/>
      </c>
      <c r="D269" s="13" t="str">
        <f aca="false">IF(A269="","",IFERROR(VLOOKUP(A269,Inventory!$A:$E,5,0),"—"))</f>
        <v/>
      </c>
      <c r="E269" s="13"/>
      <c r="F269" s="13"/>
      <c r="G269" s="13"/>
      <c r="H269" s="14"/>
      <c r="I269" s="14"/>
      <c r="J269" s="14"/>
      <c r="K269" s="13"/>
      <c r="L269" s="13"/>
    </row>
    <row r="270" customFormat="false" ht="15" hidden="false" customHeight="false" outlineLevel="0" collapsed="false">
      <c r="A270" s="11"/>
      <c r="B270" s="9"/>
      <c r="C270" s="11" t="str">
        <f aca="false">IF(A270="","",IFERROR(VLOOKUP(A270,Inventory!$A:$D,4,0),"—"))</f>
        <v/>
      </c>
      <c r="D270" s="11" t="str">
        <f aca="false">IF(A270="","",IFERROR(VLOOKUP(A270,Inventory!$A:$E,5,0),"—"))</f>
        <v/>
      </c>
      <c r="E270" s="11"/>
      <c r="F270" s="11"/>
      <c r="G270" s="11"/>
      <c r="H270" s="12"/>
      <c r="I270" s="12"/>
      <c r="J270" s="12"/>
      <c r="K270" s="11"/>
      <c r="L270" s="11"/>
    </row>
    <row r="271" customFormat="false" ht="15" hidden="false" customHeight="false" outlineLevel="0" collapsed="false">
      <c r="A271" s="13"/>
      <c r="B271" s="8"/>
      <c r="C271" s="13" t="str">
        <f aca="false">IF(A271="","",IFERROR(VLOOKUP(A271,Inventory!$A:$D,4,0),"—"))</f>
        <v/>
      </c>
      <c r="D271" s="13" t="str">
        <f aca="false">IF(A271="","",IFERROR(VLOOKUP(A271,Inventory!$A:$E,5,0),"—"))</f>
        <v/>
      </c>
      <c r="E271" s="13"/>
      <c r="F271" s="13"/>
      <c r="G271" s="13"/>
      <c r="H271" s="14"/>
      <c r="I271" s="14"/>
      <c r="J271" s="14"/>
      <c r="K271" s="13"/>
      <c r="L271" s="13"/>
    </row>
    <row r="272" customFormat="false" ht="15" hidden="false" customHeight="false" outlineLevel="0" collapsed="false">
      <c r="A272" s="11"/>
      <c r="B272" s="9"/>
      <c r="C272" s="11" t="str">
        <f aca="false">IF(A272="","",IFERROR(VLOOKUP(A272,Inventory!$A:$D,4,0),"—"))</f>
        <v/>
      </c>
      <c r="D272" s="11" t="str">
        <f aca="false">IF(A272="","",IFERROR(VLOOKUP(A272,Inventory!$A:$E,5,0),"—"))</f>
        <v/>
      </c>
      <c r="E272" s="11"/>
      <c r="F272" s="11"/>
      <c r="G272" s="11"/>
      <c r="H272" s="12"/>
      <c r="I272" s="12"/>
      <c r="J272" s="12"/>
      <c r="K272" s="11"/>
      <c r="L272" s="11"/>
    </row>
    <row r="273" customFormat="false" ht="15" hidden="false" customHeight="false" outlineLevel="0" collapsed="false">
      <c r="A273" s="13"/>
      <c r="B273" s="8"/>
      <c r="C273" s="13" t="str">
        <f aca="false">IF(A273="","",IFERROR(VLOOKUP(A273,Inventory!$A:$D,4,0),"—"))</f>
        <v/>
      </c>
      <c r="D273" s="13" t="str">
        <f aca="false">IF(A273="","",IFERROR(VLOOKUP(A273,Inventory!$A:$E,5,0),"—"))</f>
        <v/>
      </c>
      <c r="E273" s="13"/>
      <c r="F273" s="13"/>
      <c r="G273" s="13"/>
      <c r="H273" s="14"/>
      <c r="I273" s="14"/>
      <c r="J273" s="14"/>
      <c r="K273" s="13"/>
      <c r="L273" s="13"/>
    </row>
    <row r="274" customFormat="false" ht="15" hidden="false" customHeight="false" outlineLevel="0" collapsed="false">
      <c r="A274" s="11"/>
      <c r="B274" s="9"/>
      <c r="C274" s="11" t="str">
        <f aca="false">IF(A274="","",IFERROR(VLOOKUP(A274,Inventory!$A:$D,4,0),"—"))</f>
        <v/>
      </c>
      <c r="D274" s="11" t="str">
        <f aca="false">IF(A274="","",IFERROR(VLOOKUP(A274,Inventory!$A:$E,5,0),"—"))</f>
        <v/>
      </c>
      <c r="E274" s="11"/>
      <c r="F274" s="11"/>
      <c r="G274" s="11"/>
      <c r="H274" s="12"/>
      <c r="I274" s="12"/>
      <c r="J274" s="12"/>
      <c r="K274" s="11"/>
      <c r="L274" s="11"/>
    </row>
    <row r="275" customFormat="false" ht="15" hidden="false" customHeight="false" outlineLevel="0" collapsed="false">
      <c r="A275" s="13"/>
      <c r="B275" s="8"/>
      <c r="C275" s="13" t="str">
        <f aca="false">IF(A275="","",IFERROR(VLOOKUP(A275,Inventory!$A:$D,4,0),"—"))</f>
        <v/>
      </c>
      <c r="D275" s="13" t="str">
        <f aca="false">IF(A275="","",IFERROR(VLOOKUP(A275,Inventory!$A:$E,5,0),"—"))</f>
        <v/>
      </c>
      <c r="E275" s="13"/>
      <c r="F275" s="13"/>
      <c r="G275" s="13"/>
      <c r="H275" s="14"/>
      <c r="I275" s="14"/>
      <c r="J275" s="14"/>
      <c r="K275" s="13"/>
      <c r="L275" s="13"/>
    </row>
    <row r="276" customFormat="false" ht="15" hidden="false" customHeight="false" outlineLevel="0" collapsed="false">
      <c r="A276" s="11"/>
      <c r="B276" s="9"/>
      <c r="C276" s="11" t="str">
        <f aca="false">IF(A276="","",IFERROR(VLOOKUP(A276,Inventory!$A:$D,4,0),"—"))</f>
        <v/>
      </c>
      <c r="D276" s="11" t="str">
        <f aca="false">IF(A276="","",IFERROR(VLOOKUP(A276,Inventory!$A:$E,5,0),"—"))</f>
        <v/>
      </c>
      <c r="E276" s="11"/>
      <c r="F276" s="11"/>
      <c r="G276" s="11"/>
      <c r="H276" s="12"/>
      <c r="I276" s="12"/>
      <c r="J276" s="12"/>
      <c r="K276" s="11"/>
      <c r="L276" s="11"/>
    </row>
    <row r="277" customFormat="false" ht="15" hidden="false" customHeight="false" outlineLevel="0" collapsed="false">
      <c r="A277" s="13"/>
      <c r="B277" s="8"/>
      <c r="C277" s="13" t="str">
        <f aca="false">IF(A277="","",IFERROR(VLOOKUP(A277,Inventory!$A:$D,4,0),"—"))</f>
        <v/>
      </c>
      <c r="D277" s="13" t="str">
        <f aca="false">IF(A277="","",IFERROR(VLOOKUP(A277,Inventory!$A:$E,5,0),"—"))</f>
        <v/>
      </c>
      <c r="E277" s="13"/>
      <c r="F277" s="13"/>
      <c r="G277" s="13"/>
      <c r="H277" s="14"/>
      <c r="I277" s="14"/>
      <c r="J277" s="14"/>
      <c r="K277" s="13"/>
      <c r="L277" s="13"/>
    </row>
    <row r="278" customFormat="false" ht="15" hidden="false" customHeight="false" outlineLevel="0" collapsed="false">
      <c r="A278" s="11"/>
      <c r="B278" s="9"/>
      <c r="C278" s="11" t="str">
        <f aca="false">IF(A278="","",IFERROR(VLOOKUP(A278,Inventory!$A:$D,4,0),"—"))</f>
        <v/>
      </c>
      <c r="D278" s="11" t="str">
        <f aca="false">IF(A278="","",IFERROR(VLOOKUP(A278,Inventory!$A:$E,5,0),"—"))</f>
        <v/>
      </c>
      <c r="E278" s="11"/>
      <c r="F278" s="11"/>
      <c r="G278" s="11"/>
      <c r="H278" s="12"/>
      <c r="I278" s="12"/>
      <c r="J278" s="12"/>
      <c r="K278" s="11"/>
      <c r="L278" s="11"/>
    </row>
    <row r="279" customFormat="false" ht="15" hidden="false" customHeight="false" outlineLevel="0" collapsed="false">
      <c r="A279" s="13"/>
      <c r="B279" s="8"/>
      <c r="C279" s="13" t="str">
        <f aca="false">IF(A279="","",IFERROR(VLOOKUP(A279,Inventory!$A:$D,4,0),"—"))</f>
        <v/>
      </c>
      <c r="D279" s="13" t="str">
        <f aca="false">IF(A279="","",IFERROR(VLOOKUP(A279,Inventory!$A:$E,5,0),"—"))</f>
        <v/>
      </c>
      <c r="E279" s="13"/>
      <c r="F279" s="13"/>
      <c r="G279" s="13"/>
      <c r="H279" s="14"/>
      <c r="I279" s="14"/>
      <c r="J279" s="14"/>
      <c r="K279" s="13"/>
      <c r="L279" s="13"/>
    </row>
    <row r="280" customFormat="false" ht="15" hidden="false" customHeight="false" outlineLevel="0" collapsed="false">
      <c r="A280" s="11"/>
      <c r="B280" s="9"/>
      <c r="C280" s="11" t="str">
        <f aca="false">IF(A280="","",IFERROR(VLOOKUP(A280,Inventory!$A:$D,4,0),"—"))</f>
        <v/>
      </c>
      <c r="D280" s="11" t="str">
        <f aca="false">IF(A280="","",IFERROR(VLOOKUP(A280,Inventory!$A:$E,5,0),"—"))</f>
        <v/>
      </c>
      <c r="E280" s="11"/>
      <c r="F280" s="11"/>
      <c r="G280" s="11"/>
      <c r="H280" s="12"/>
      <c r="I280" s="12"/>
      <c r="J280" s="12"/>
      <c r="K280" s="11"/>
      <c r="L280" s="11"/>
    </row>
    <row r="281" customFormat="false" ht="15" hidden="false" customHeight="false" outlineLevel="0" collapsed="false">
      <c r="A281" s="13"/>
      <c r="B281" s="8"/>
      <c r="C281" s="13" t="str">
        <f aca="false">IF(A281="","",IFERROR(VLOOKUP(A281,Inventory!$A:$D,4,0),"—"))</f>
        <v/>
      </c>
      <c r="D281" s="13" t="str">
        <f aca="false">IF(A281="","",IFERROR(VLOOKUP(A281,Inventory!$A:$E,5,0),"—"))</f>
        <v/>
      </c>
      <c r="E281" s="13"/>
      <c r="F281" s="13"/>
      <c r="G281" s="13"/>
      <c r="H281" s="14"/>
      <c r="I281" s="14"/>
      <c r="J281" s="14"/>
      <c r="K281" s="13"/>
      <c r="L281" s="13"/>
    </row>
    <row r="282" customFormat="false" ht="15" hidden="false" customHeight="false" outlineLevel="0" collapsed="false">
      <c r="A282" s="11"/>
      <c r="B282" s="9"/>
      <c r="C282" s="11" t="str">
        <f aca="false">IF(A282="","",IFERROR(VLOOKUP(A282,Inventory!$A:$D,4,0),"—"))</f>
        <v/>
      </c>
      <c r="D282" s="11" t="str">
        <f aca="false">IF(A282="","",IFERROR(VLOOKUP(A282,Inventory!$A:$E,5,0),"—"))</f>
        <v/>
      </c>
      <c r="E282" s="11"/>
      <c r="F282" s="11"/>
      <c r="G282" s="11"/>
      <c r="H282" s="12"/>
      <c r="I282" s="12"/>
      <c r="J282" s="12"/>
      <c r="K282" s="11"/>
      <c r="L282" s="11"/>
    </row>
    <row r="283" customFormat="false" ht="15" hidden="false" customHeight="false" outlineLevel="0" collapsed="false">
      <c r="A283" s="13"/>
      <c r="B283" s="8"/>
      <c r="C283" s="13" t="str">
        <f aca="false">IF(A283="","",IFERROR(VLOOKUP(A283,Inventory!$A:$D,4,0),"—"))</f>
        <v/>
      </c>
      <c r="D283" s="13" t="str">
        <f aca="false">IF(A283="","",IFERROR(VLOOKUP(A283,Inventory!$A:$E,5,0),"—"))</f>
        <v/>
      </c>
      <c r="E283" s="13"/>
      <c r="F283" s="13"/>
      <c r="G283" s="13"/>
      <c r="H283" s="14"/>
      <c r="I283" s="14"/>
      <c r="J283" s="14"/>
      <c r="K283" s="13"/>
      <c r="L283" s="13"/>
    </row>
    <row r="284" customFormat="false" ht="15" hidden="false" customHeight="false" outlineLevel="0" collapsed="false">
      <c r="A284" s="11"/>
      <c r="B284" s="9"/>
      <c r="C284" s="11" t="str">
        <f aca="false">IF(A284="","",IFERROR(VLOOKUP(A284,Inventory!$A:$D,4,0),"—"))</f>
        <v/>
      </c>
      <c r="D284" s="11" t="str">
        <f aca="false">IF(A284="","",IFERROR(VLOOKUP(A284,Inventory!$A:$E,5,0),"—"))</f>
        <v/>
      </c>
      <c r="E284" s="11"/>
      <c r="F284" s="11"/>
      <c r="G284" s="11"/>
      <c r="H284" s="12"/>
      <c r="I284" s="12"/>
      <c r="J284" s="12"/>
      <c r="K284" s="11"/>
      <c r="L284" s="11"/>
    </row>
    <row r="285" customFormat="false" ht="15" hidden="false" customHeight="false" outlineLevel="0" collapsed="false">
      <c r="A285" s="13"/>
      <c r="B285" s="8"/>
      <c r="C285" s="13" t="str">
        <f aca="false">IF(A285="","",IFERROR(VLOOKUP(A285,Inventory!$A:$D,4,0),"—"))</f>
        <v/>
      </c>
      <c r="D285" s="13" t="str">
        <f aca="false">IF(A285="","",IFERROR(VLOOKUP(A285,Inventory!$A:$E,5,0),"—"))</f>
        <v/>
      </c>
      <c r="E285" s="13"/>
      <c r="F285" s="13"/>
      <c r="G285" s="13"/>
      <c r="H285" s="14"/>
      <c r="I285" s="14"/>
      <c r="J285" s="14"/>
      <c r="K285" s="13"/>
      <c r="L285" s="13"/>
    </row>
    <row r="286" customFormat="false" ht="15" hidden="false" customHeight="false" outlineLevel="0" collapsed="false">
      <c r="A286" s="11"/>
      <c r="B286" s="9"/>
      <c r="C286" s="11" t="str">
        <f aca="false">IF(A286="","",IFERROR(VLOOKUP(A286,Inventory!$A:$D,4,0),"—"))</f>
        <v/>
      </c>
      <c r="D286" s="11" t="str">
        <f aca="false">IF(A286="","",IFERROR(VLOOKUP(A286,Inventory!$A:$E,5,0),"—"))</f>
        <v/>
      </c>
      <c r="E286" s="11"/>
      <c r="F286" s="11"/>
      <c r="G286" s="11"/>
      <c r="H286" s="12"/>
      <c r="I286" s="12"/>
      <c r="J286" s="12"/>
      <c r="K286" s="11"/>
      <c r="L286" s="11"/>
    </row>
    <row r="287" customFormat="false" ht="15" hidden="false" customHeight="false" outlineLevel="0" collapsed="false">
      <c r="A287" s="13"/>
      <c r="B287" s="8"/>
      <c r="C287" s="13" t="str">
        <f aca="false">IF(A287="","",IFERROR(VLOOKUP(A287,Inventory!$A:$D,4,0),"—"))</f>
        <v/>
      </c>
      <c r="D287" s="13" t="str">
        <f aca="false">IF(A287="","",IFERROR(VLOOKUP(A287,Inventory!$A:$E,5,0),"—"))</f>
        <v/>
      </c>
      <c r="E287" s="13"/>
      <c r="F287" s="13"/>
      <c r="G287" s="13"/>
      <c r="H287" s="14"/>
      <c r="I287" s="14"/>
      <c r="J287" s="14"/>
      <c r="K287" s="13"/>
      <c r="L287" s="13"/>
    </row>
    <row r="288" customFormat="false" ht="15" hidden="false" customHeight="false" outlineLevel="0" collapsed="false">
      <c r="A288" s="11"/>
      <c r="B288" s="9"/>
      <c r="C288" s="11" t="str">
        <f aca="false">IF(A288="","",IFERROR(VLOOKUP(A288,Inventory!$A:$D,4,0),"—"))</f>
        <v/>
      </c>
      <c r="D288" s="11" t="str">
        <f aca="false">IF(A288="","",IFERROR(VLOOKUP(A288,Inventory!$A:$E,5,0),"—"))</f>
        <v/>
      </c>
      <c r="E288" s="11"/>
      <c r="F288" s="11"/>
      <c r="G288" s="11"/>
      <c r="H288" s="12"/>
      <c r="I288" s="12"/>
      <c r="J288" s="12"/>
      <c r="K288" s="11"/>
      <c r="L288" s="11"/>
    </row>
    <row r="289" customFormat="false" ht="15" hidden="false" customHeight="false" outlineLevel="0" collapsed="false">
      <c r="A289" s="13"/>
      <c r="B289" s="8"/>
      <c r="C289" s="13" t="str">
        <f aca="false">IF(A289="","",IFERROR(VLOOKUP(A289,Inventory!$A:$D,4,0),"—"))</f>
        <v/>
      </c>
      <c r="D289" s="13" t="str">
        <f aca="false">IF(A289="","",IFERROR(VLOOKUP(A289,Inventory!$A:$E,5,0),"—"))</f>
        <v/>
      </c>
      <c r="E289" s="13"/>
      <c r="F289" s="13"/>
      <c r="G289" s="13"/>
      <c r="H289" s="14"/>
      <c r="I289" s="14"/>
      <c r="J289" s="14"/>
      <c r="K289" s="13"/>
      <c r="L289" s="13"/>
    </row>
    <row r="290" customFormat="false" ht="15" hidden="false" customHeight="false" outlineLevel="0" collapsed="false">
      <c r="A290" s="11"/>
      <c r="B290" s="9"/>
      <c r="C290" s="11" t="str">
        <f aca="false">IF(A290="","",IFERROR(VLOOKUP(A290,Inventory!$A:$D,4,0),"—"))</f>
        <v/>
      </c>
      <c r="D290" s="11" t="str">
        <f aca="false">IF(A290="","",IFERROR(VLOOKUP(A290,Inventory!$A:$E,5,0),"—"))</f>
        <v/>
      </c>
      <c r="E290" s="11"/>
      <c r="F290" s="11"/>
      <c r="G290" s="11"/>
      <c r="H290" s="12"/>
      <c r="I290" s="12"/>
      <c r="J290" s="12"/>
      <c r="K290" s="11"/>
      <c r="L290" s="11"/>
    </row>
    <row r="291" customFormat="false" ht="15" hidden="false" customHeight="false" outlineLevel="0" collapsed="false">
      <c r="A291" s="13"/>
      <c r="B291" s="8"/>
      <c r="C291" s="13" t="str">
        <f aca="false">IF(A291="","",IFERROR(VLOOKUP(A291,Inventory!$A:$D,4,0),"—"))</f>
        <v/>
      </c>
      <c r="D291" s="13" t="str">
        <f aca="false">IF(A291="","",IFERROR(VLOOKUP(A291,Inventory!$A:$E,5,0),"—"))</f>
        <v/>
      </c>
      <c r="E291" s="13"/>
      <c r="F291" s="13"/>
      <c r="G291" s="13"/>
      <c r="H291" s="14"/>
      <c r="I291" s="14"/>
      <c r="J291" s="14"/>
      <c r="K291" s="13"/>
      <c r="L291" s="13"/>
    </row>
    <row r="292" customFormat="false" ht="15" hidden="false" customHeight="false" outlineLevel="0" collapsed="false">
      <c r="A292" s="11"/>
      <c r="B292" s="9"/>
      <c r="C292" s="11" t="str">
        <f aca="false">IF(A292="","",IFERROR(VLOOKUP(A292,Inventory!$A:$D,4,0),"—"))</f>
        <v/>
      </c>
      <c r="D292" s="11" t="str">
        <f aca="false">IF(A292="","",IFERROR(VLOOKUP(A292,Inventory!$A:$E,5,0),"—"))</f>
        <v/>
      </c>
      <c r="E292" s="11"/>
      <c r="F292" s="11"/>
      <c r="G292" s="11"/>
      <c r="H292" s="12"/>
      <c r="I292" s="12"/>
      <c r="J292" s="12"/>
      <c r="K292" s="11"/>
      <c r="L292" s="11"/>
    </row>
    <row r="293" customFormat="false" ht="15" hidden="false" customHeight="false" outlineLevel="0" collapsed="false">
      <c r="A293" s="13"/>
      <c r="B293" s="8"/>
      <c r="C293" s="13" t="str">
        <f aca="false">IF(A293="","",IFERROR(VLOOKUP(A293,Inventory!$A:$D,4,0),"—"))</f>
        <v/>
      </c>
      <c r="D293" s="13" t="str">
        <f aca="false">IF(A293="","",IFERROR(VLOOKUP(A293,Inventory!$A:$E,5,0),"—"))</f>
        <v/>
      </c>
      <c r="E293" s="13"/>
      <c r="F293" s="13"/>
      <c r="G293" s="13"/>
      <c r="H293" s="14"/>
      <c r="I293" s="14"/>
      <c r="J293" s="14"/>
      <c r="K293" s="13"/>
      <c r="L293" s="13"/>
    </row>
    <row r="294" customFormat="false" ht="15" hidden="false" customHeight="false" outlineLevel="0" collapsed="false">
      <c r="A294" s="11"/>
      <c r="B294" s="9"/>
      <c r="C294" s="11" t="str">
        <f aca="false">IF(A294="","",IFERROR(VLOOKUP(A294,Inventory!$A:$D,4,0),"—"))</f>
        <v/>
      </c>
      <c r="D294" s="11" t="str">
        <f aca="false">IF(A294="","",IFERROR(VLOOKUP(A294,Inventory!$A:$E,5,0),"—"))</f>
        <v/>
      </c>
      <c r="E294" s="11"/>
      <c r="F294" s="11"/>
      <c r="G294" s="11"/>
      <c r="H294" s="12"/>
      <c r="I294" s="12"/>
      <c r="J294" s="12"/>
      <c r="K294" s="11"/>
      <c r="L294" s="11"/>
    </row>
    <row r="295" customFormat="false" ht="15" hidden="false" customHeight="false" outlineLevel="0" collapsed="false">
      <c r="A295" s="13"/>
      <c r="B295" s="8"/>
      <c r="C295" s="13" t="str">
        <f aca="false">IF(A295="","",IFERROR(VLOOKUP(A295,Inventory!$A:$D,4,0),"—"))</f>
        <v/>
      </c>
      <c r="D295" s="13" t="str">
        <f aca="false">IF(A295="","",IFERROR(VLOOKUP(A295,Inventory!$A:$E,5,0),"—"))</f>
        <v/>
      </c>
      <c r="E295" s="13"/>
      <c r="F295" s="13"/>
      <c r="G295" s="13"/>
      <c r="H295" s="14"/>
      <c r="I295" s="14"/>
      <c r="J295" s="14"/>
      <c r="K295" s="13"/>
      <c r="L295" s="13"/>
    </row>
    <row r="296" customFormat="false" ht="15" hidden="false" customHeight="false" outlineLevel="0" collapsed="false">
      <c r="A296" s="11"/>
      <c r="B296" s="9"/>
      <c r="C296" s="11" t="str">
        <f aca="false">IF(A296="","",IFERROR(VLOOKUP(A296,Inventory!$A:$D,4,0),"—"))</f>
        <v/>
      </c>
      <c r="D296" s="11" t="str">
        <f aca="false">IF(A296="","",IFERROR(VLOOKUP(A296,Inventory!$A:$E,5,0),"—"))</f>
        <v/>
      </c>
      <c r="E296" s="11"/>
      <c r="F296" s="11"/>
      <c r="G296" s="11"/>
      <c r="H296" s="12"/>
      <c r="I296" s="12"/>
      <c r="J296" s="12"/>
      <c r="K296" s="11"/>
      <c r="L296" s="11"/>
    </row>
    <row r="297" customFormat="false" ht="15" hidden="false" customHeight="false" outlineLevel="0" collapsed="false">
      <c r="A297" s="13"/>
      <c r="B297" s="8"/>
      <c r="C297" s="13" t="str">
        <f aca="false">IF(A297="","",IFERROR(VLOOKUP(A297,Inventory!$A:$D,4,0),"—"))</f>
        <v/>
      </c>
      <c r="D297" s="13" t="str">
        <f aca="false">IF(A297="","",IFERROR(VLOOKUP(A297,Inventory!$A:$E,5,0),"—"))</f>
        <v/>
      </c>
      <c r="E297" s="13"/>
      <c r="F297" s="13"/>
      <c r="G297" s="13"/>
      <c r="H297" s="14"/>
      <c r="I297" s="14"/>
      <c r="J297" s="14"/>
      <c r="K297" s="13"/>
      <c r="L297" s="13"/>
    </row>
    <row r="298" customFormat="false" ht="15" hidden="false" customHeight="false" outlineLevel="0" collapsed="false">
      <c r="A298" s="11"/>
      <c r="B298" s="9"/>
      <c r="C298" s="11" t="str">
        <f aca="false">IF(A298="","",IFERROR(VLOOKUP(A298,Inventory!$A:$D,4,0),"—"))</f>
        <v/>
      </c>
      <c r="D298" s="11" t="str">
        <f aca="false">IF(A298="","",IFERROR(VLOOKUP(A298,Inventory!$A:$E,5,0),"—"))</f>
        <v/>
      </c>
      <c r="E298" s="11"/>
      <c r="F298" s="11"/>
      <c r="G298" s="11"/>
      <c r="H298" s="12"/>
      <c r="I298" s="12"/>
      <c r="J298" s="12"/>
      <c r="K298" s="11"/>
      <c r="L298" s="11"/>
    </row>
    <row r="299" customFormat="false" ht="15" hidden="false" customHeight="false" outlineLevel="0" collapsed="false">
      <c r="A299" s="13"/>
      <c r="B299" s="8"/>
      <c r="C299" s="13" t="str">
        <f aca="false">IF(A299="","",IFERROR(VLOOKUP(A299,Inventory!$A:$D,4,0),"—"))</f>
        <v/>
      </c>
      <c r="D299" s="13" t="str">
        <f aca="false">IF(A299="","",IFERROR(VLOOKUP(A299,Inventory!$A:$E,5,0),"—"))</f>
        <v/>
      </c>
      <c r="E299" s="13"/>
      <c r="F299" s="13"/>
      <c r="G299" s="13"/>
      <c r="H299" s="14"/>
      <c r="I299" s="14"/>
      <c r="J299" s="14"/>
      <c r="K299" s="13"/>
      <c r="L299" s="13"/>
    </row>
    <row r="300" customFormat="false" ht="15" hidden="false" customHeight="false" outlineLevel="0" collapsed="false">
      <c r="A300" s="11"/>
      <c r="B300" s="9"/>
      <c r="C300" s="11" t="str">
        <f aca="false">IF(A300="","",IFERROR(VLOOKUP(A300,Inventory!$A:$D,4,0),"—"))</f>
        <v/>
      </c>
      <c r="D300" s="11" t="str">
        <f aca="false">IF(A300="","",IFERROR(VLOOKUP(A300,Inventory!$A:$E,5,0),"—"))</f>
        <v/>
      </c>
      <c r="E300" s="11"/>
      <c r="F300" s="11"/>
      <c r="G300" s="11"/>
      <c r="H300" s="12"/>
      <c r="I300" s="12"/>
      <c r="J300" s="12"/>
      <c r="K300" s="11"/>
      <c r="L300" s="11"/>
    </row>
    <row r="301" customFormat="false" ht="15" hidden="false" customHeight="false" outlineLevel="0" collapsed="false">
      <c r="A301" s="13"/>
      <c r="B301" s="8"/>
      <c r="C301" s="13" t="str">
        <f aca="false">IF(A301="","",IFERROR(VLOOKUP(A301,Inventory!$A:$D,4,0),"—"))</f>
        <v/>
      </c>
      <c r="D301" s="13" t="str">
        <f aca="false">IF(A301="","",IFERROR(VLOOKUP(A301,Inventory!$A:$E,5,0),"—"))</f>
        <v/>
      </c>
      <c r="E301" s="13"/>
      <c r="F301" s="13"/>
      <c r="G301" s="13"/>
      <c r="H301" s="14"/>
      <c r="I301" s="14"/>
      <c r="J301" s="14"/>
      <c r="K301" s="13"/>
      <c r="L301" s="13"/>
    </row>
    <row r="302" customFormat="false" ht="15" hidden="false" customHeight="false" outlineLevel="0" collapsed="false">
      <c r="A302" s="11"/>
      <c r="B302" s="9"/>
      <c r="C302" s="11" t="str">
        <f aca="false">IF(A302="","",IFERROR(VLOOKUP(A302,Inventory!$A:$D,4,0),"—"))</f>
        <v/>
      </c>
      <c r="D302" s="11" t="str">
        <f aca="false">IF(A302="","",IFERROR(VLOOKUP(A302,Inventory!$A:$E,5,0),"—"))</f>
        <v/>
      </c>
      <c r="E302" s="11"/>
      <c r="F302" s="11"/>
      <c r="G302" s="11"/>
      <c r="H302" s="12"/>
      <c r="I302" s="12"/>
      <c r="J302" s="12"/>
      <c r="K302" s="11"/>
      <c r="L302" s="11"/>
    </row>
  </sheetData>
  <mergeCells count="1">
    <mergeCell ref="A1:L1"/>
  </mergeCells>
  <dataValidations count="7">
    <dataValidation allowBlank="true" errorStyle="stop" operator="between" showDropDown="false" showErrorMessage="false" showInputMessage="false" sqref="L6:L302" type="list">
      <formula1>"Checked Out,Returned,Overdue"</formula1>
      <formula2>0</formula2>
    </dataValidation>
    <dataValidation allowBlank="true" errorStyle="stop" operator="between" showDropDown="false" showErrorMessage="false" showInputMessage="false" sqref="K3:K302" type="list">
      <formula1>"Good,Fair,Poor"</formula1>
      <formula2>0</formula2>
    </dataValidation>
    <dataValidation allowBlank="true" errorStyle="stop" operator="equal" showDropDown="false" showErrorMessage="true" showInputMessage="false" sqref="A3" type="list">
      <formula1>Inventory!$A$3:$A$302</formula1>
      <formula2>0</formula2>
    </dataValidation>
    <dataValidation allowBlank="true" errorStyle="stop" operator="equal" showDropDown="false" showErrorMessage="true" showInputMessage="false" sqref="A4:A5 A7:A30" type="list">
      <formula1>Inventory!$A$3:$A$302</formula1>
      <formula2>0</formula2>
    </dataValidation>
    <dataValidation allowBlank="true" errorStyle="stop" operator="equal" showDropDown="false" showErrorMessage="true" showInputMessage="false" sqref="C3:D30" type="none">
      <formula1>Inventory!$A$3:$A$302</formula1>
      <formula2>0</formula2>
    </dataValidation>
    <dataValidation allowBlank="true" errorStyle="stop" operator="between" showDropDown="false" showErrorMessage="false" showInputMessage="false" sqref="L3:L5" type="list">
      <formula1>",,Checked Out,Returned,Overdue"</formula1>
      <formula2>0</formula2>
    </dataValidation>
    <dataValidation allowBlank="true" errorStyle="stop" operator="equal" showDropDown="false" showErrorMessage="true" showInputMessage="false" sqref="B1:B1302" type="non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3" activeCellId="0" sqref="C3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49.45"/>
    <col collapsed="false" customWidth="true" hidden="false" outlineLevel="0" max="2" min="2" style="1" width="18.16"/>
    <col collapsed="false" customWidth="true" hidden="false" outlineLevel="0" max="3" min="3" style="1" width="30.99"/>
    <col collapsed="false" customWidth="true" hidden="false" outlineLevel="0" max="4" min="4" style="1" width="45.43"/>
    <col collapsed="false" customWidth="true" hidden="false" outlineLevel="0" max="5" min="5" style="1" width="22.2"/>
    <col collapsed="false" customWidth="true" hidden="false" outlineLevel="0" max="6" min="6" style="1" width="12.11"/>
    <col collapsed="false" customWidth="true" hidden="false" outlineLevel="0" max="7" min="7" style="1" width="32.29"/>
    <col collapsed="false" customWidth="true" hidden="true" outlineLevel="0" max="8" min="8" style="1" width="13.12"/>
  </cols>
  <sheetData>
    <row r="1" customFormat="false" ht="30" hidden="false" customHeight="true" outlineLevel="0" collapsed="false">
      <c r="A1" s="15" t="s">
        <v>509</v>
      </c>
      <c r="B1" s="15"/>
      <c r="C1" s="15"/>
      <c r="D1" s="15"/>
      <c r="E1" s="15"/>
      <c r="F1" s="15"/>
      <c r="G1" s="15"/>
    </row>
    <row r="2" customFormat="false" ht="24" hidden="false" customHeight="true" outlineLevel="0" collapsed="false">
      <c r="A2" s="21" t="s">
        <v>510</v>
      </c>
      <c r="B2" s="21"/>
      <c r="C2" s="22"/>
      <c r="D2" s="23" t="s">
        <v>511</v>
      </c>
      <c r="E2" s="23"/>
      <c r="F2" s="23"/>
      <c r="G2" s="23"/>
    </row>
    <row r="3" customFormat="false" ht="7.5" hidden="false" customHeight="true" outlineLevel="0" collapsed="false"/>
    <row r="4" customFormat="false" ht="15" hidden="false" customHeight="false" outlineLevel="0" collapsed="false">
      <c r="A4" s="7" t="s">
        <v>16</v>
      </c>
      <c r="B4" s="7" t="s">
        <v>296</v>
      </c>
      <c r="C4" s="7" t="s">
        <v>498</v>
      </c>
      <c r="D4" s="7" t="s">
        <v>17</v>
      </c>
      <c r="E4" s="7" t="s">
        <v>9</v>
      </c>
      <c r="F4" s="7" t="s">
        <v>298</v>
      </c>
      <c r="G4" s="7" t="s">
        <v>27</v>
      </c>
    </row>
    <row r="5" customFormat="false" ht="15" hidden="false" customHeight="false" outlineLevel="0" collapsed="false">
      <c r="A5" s="13" t="str">
        <f aca="false">IFERROR(IF(INDEX(Inventory!A:A,SMALL($H$5:$H$304,1))="","",INDEX(Inventory!A:A,SMALL($H$5:$H$304,1))),"")</f>
        <v/>
      </c>
      <c r="B5" s="13" t="str">
        <f aca="false">IFERROR(IF(INDEX(Inventory!B:B,SMALL($H$5:$H$304,1))="","",INDEX(Inventory!B:B,SMALL($H$5:$H$304,1))),"")</f>
        <v/>
      </c>
      <c r="C5" s="13" t="str">
        <f aca="false">IFERROR(IF(INDEX(Inventory!C:C,SMALL($H$5:$H$304,1))="","",INDEX(Inventory!C:C,SMALL($H$5:$H$304,1))),"")</f>
        <v/>
      </c>
      <c r="D5" s="13" t="str">
        <f aca="false">IFERROR(IF(INDEX(Inventory!D:D,SMALL($H$5:$H$304,1))="","",INDEX(Inventory!D:D,SMALL($H$5:$H$304,1))),"")</f>
        <v/>
      </c>
      <c r="E5" s="13" t="str">
        <f aca="false">IFERROR(IF(INDEX(Inventory!E:E,SMALL($H$5:$H$304,1))="","",INDEX(Inventory!E:E,SMALL($H$5:$H$304,1))),"")</f>
        <v/>
      </c>
      <c r="F5" s="13" t="str">
        <f aca="false">IFERROR(IF(INDEX(Inventory!F:F,SMALL($H$5:$H$304,1))="","",INDEX(Inventory!F:F,SMALL($H$5:$H$304,1))),"")</f>
        <v/>
      </c>
      <c r="G5" s="13" t="str">
        <f aca="false">IFERROR(IF(INDEX(Inventory!G:G,SMALL($H$5:$H$304,1))="","",INDEX(Inventory!G:G,SMALL($H$5:$H$304,1))),"")</f>
        <v/>
      </c>
      <c r="H5" s="1" t="str">
        <f aca="false">IF(Inventory!A3="","",IF(ISNUMBER(SEARCH($C$2,Inventory!A3)),ROW(Inventory!A3),""))</f>
        <v/>
      </c>
    </row>
    <row r="6" customFormat="false" ht="15" hidden="false" customHeight="false" outlineLevel="0" collapsed="false">
      <c r="A6" s="11" t="str">
        <f aca="false">IFERROR(IF(INDEX(Inventory!A:A,SMALL($H$5:$H$304,2))="","",INDEX(Inventory!A:A,SMALL($H$5:$H$304,2))),"")</f>
        <v/>
      </c>
      <c r="B6" s="11" t="str">
        <f aca="false">IFERROR(IF(INDEX(Inventory!B:B,SMALL($H$5:$H$304,2))="","",INDEX(Inventory!B:B,SMALL($H$5:$H$304,2))),"")</f>
        <v/>
      </c>
      <c r="C6" s="11" t="str">
        <f aca="false">IFERROR(IF(INDEX(Inventory!C:C,SMALL($H$5:$H$304,2))="","",INDEX(Inventory!C:C,SMALL($H$5:$H$304,2))),"")</f>
        <v/>
      </c>
      <c r="D6" s="11" t="str">
        <f aca="false">IFERROR(IF(INDEX(Inventory!D:D,SMALL($H$5:$H$304,2))="","",INDEX(Inventory!D:D,SMALL($H$5:$H$304,2))),"")</f>
        <v/>
      </c>
      <c r="E6" s="11" t="str">
        <f aca="false">IFERROR(IF(INDEX(Inventory!E:E,SMALL($H$5:$H$304,2))="","",INDEX(Inventory!E:E,SMALL($H$5:$H$304,2))),"")</f>
        <v/>
      </c>
      <c r="F6" s="11" t="str">
        <f aca="false">IFERROR(IF(INDEX(Inventory!F:F,SMALL($H$5:$H$304,2))="","",INDEX(Inventory!F:F,SMALL($H$5:$H$304,2))),"")</f>
        <v/>
      </c>
      <c r="G6" s="11" t="str">
        <f aca="false">IFERROR(IF(INDEX(Inventory!G:G,SMALL($H$5:$H$304,2))="","",INDEX(Inventory!G:G,SMALL($H$5:$H$304,2))),"")</f>
        <v/>
      </c>
      <c r="H6" s="1" t="str">
        <f aca="false">IF(Inventory!A4="","",IF(ISNUMBER(SEARCH($C$2,Inventory!A4)),ROW(Inventory!A4),""))</f>
        <v/>
      </c>
    </row>
    <row r="7" customFormat="false" ht="15" hidden="false" customHeight="false" outlineLevel="0" collapsed="false">
      <c r="A7" s="13" t="str">
        <f aca="false">IFERROR(IF(INDEX(Inventory!A:A,SMALL($H$5:$H$304,3))="","",INDEX(Inventory!A:A,SMALL($H$5:$H$304,3))),"")</f>
        <v/>
      </c>
      <c r="B7" s="13" t="str">
        <f aca="false">IFERROR(IF(INDEX(Inventory!B:B,SMALL($H$5:$H$304,3))="","",INDEX(Inventory!B:B,SMALL($H$5:$H$304,3))),"")</f>
        <v/>
      </c>
      <c r="C7" s="13" t="str">
        <f aca="false">IFERROR(IF(INDEX(Inventory!C:C,SMALL($H$5:$H$304,3))="","",INDEX(Inventory!C:C,SMALL($H$5:$H$304,3))),"")</f>
        <v/>
      </c>
      <c r="D7" s="13" t="str">
        <f aca="false">IFERROR(IF(INDEX(Inventory!D:D,SMALL($H$5:$H$304,3))="","",INDEX(Inventory!D:D,SMALL($H$5:$H$304,3))),"")</f>
        <v/>
      </c>
      <c r="E7" s="13" t="str">
        <f aca="false">IFERROR(IF(INDEX(Inventory!E:E,SMALL($H$5:$H$304,3))="","",INDEX(Inventory!E:E,SMALL($H$5:$H$304,3))),"")</f>
        <v/>
      </c>
      <c r="F7" s="13" t="str">
        <f aca="false">IFERROR(IF(INDEX(Inventory!F:F,SMALL($H$5:$H$304,3))="","",INDEX(Inventory!F:F,SMALL($H$5:$H$304,3))),"")</f>
        <v/>
      </c>
      <c r="G7" s="13" t="str">
        <f aca="false">IFERROR(IF(INDEX(Inventory!G:G,SMALL($H$5:$H$304,3))="","",INDEX(Inventory!G:G,SMALL($H$5:$H$304,3))),"")</f>
        <v/>
      </c>
      <c r="H7" s="1" t="str">
        <f aca="false">IF(Inventory!A5="","",IF(ISNUMBER(SEARCH($C$2,Inventory!A5)),ROW(Inventory!A5),""))</f>
        <v/>
      </c>
    </row>
    <row r="8" customFormat="false" ht="15" hidden="false" customHeight="false" outlineLevel="0" collapsed="false">
      <c r="A8" s="11" t="str">
        <f aca="false">IFERROR(IF(INDEX(Inventory!A:A,SMALL($H$5:$H$304,4))="","",INDEX(Inventory!A:A,SMALL($H$5:$H$304,4))),"")</f>
        <v/>
      </c>
      <c r="B8" s="11" t="str">
        <f aca="false">IFERROR(IF(INDEX(Inventory!B:B,SMALL($H$5:$H$304,4))="","",INDEX(Inventory!B:B,SMALL($H$5:$H$304,4))),"")</f>
        <v/>
      </c>
      <c r="C8" s="11" t="str">
        <f aca="false">IFERROR(IF(INDEX(Inventory!C:C,SMALL($H$5:$H$304,4))="","",INDEX(Inventory!C:C,SMALL($H$5:$H$304,4))),"")</f>
        <v/>
      </c>
      <c r="D8" s="11" t="str">
        <f aca="false">IFERROR(IF(INDEX(Inventory!D:D,SMALL($H$5:$H$304,4))="","",INDEX(Inventory!D:D,SMALL($H$5:$H$304,4))),"")</f>
        <v/>
      </c>
      <c r="E8" s="11" t="str">
        <f aca="false">IFERROR(IF(INDEX(Inventory!E:E,SMALL($H$5:$H$304,4))="","",INDEX(Inventory!E:E,SMALL($H$5:$H$304,4))),"")</f>
        <v/>
      </c>
      <c r="F8" s="11" t="str">
        <f aca="false">IFERROR(IF(INDEX(Inventory!F:F,SMALL($H$5:$H$304,4))="","",INDEX(Inventory!F:F,SMALL($H$5:$H$304,4))),"")</f>
        <v/>
      </c>
      <c r="G8" s="11" t="str">
        <f aca="false">IFERROR(IF(INDEX(Inventory!G:G,SMALL($H$5:$H$304,4))="","",INDEX(Inventory!G:G,SMALL($H$5:$H$304,4))),"")</f>
        <v/>
      </c>
      <c r="H8" s="1" t="str">
        <f aca="false">IF(Inventory!A6="","",IF(ISNUMBER(SEARCH($C$2,Inventory!A6)),ROW(Inventory!A6),""))</f>
        <v/>
      </c>
    </row>
    <row r="9" customFormat="false" ht="15" hidden="false" customHeight="false" outlineLevel="0" collapsed="false">
      <c r="A9" s="13" t="str">
        <f aca="false">IFERROR(IF(INDEX(Inventory!A:A,SMALL($H$5:$H$304,5))="","",INDEX(Inventory!A:A,SMALL($H$5:$H$304,5))),"")</f>
        <v/>
      </c>
      <c r="B9" s="13" t="str">
        <f aca="false">IFERROR(IF(INDEX(Inventory!B:B,SMALL($H$5:$H$304,5))="","",INDEX(Inventory!B:B,SMALL($H$5:$H$304,5))),"")</f>
        <v/>
      </c>
      <c r="C9" s="13" t="str">
        <f aca="false">IFERROR(IF(INDEX(Inventory!C:C,SMALL($H$5:$H$304,5))="","",INDEX(Inventory!C:C,SMALL($H$5:$H$304,5))),"")</f>
        <v/>
      </c>
      <c r="D9" s="13" t="str">
        <f aca="false">IFERROR(IF(INDEX(Inventory!D:D,SMALL($H$5:$H$304,5))="","",INDEX(Inventory!D:D,SMALL($H$5:$H$304,5))),"")</f>
        <v/>
      </c>
      <c r="E9" s="13" t="str">
        <f aca="false">IFERROR(IF(INDEX(Inventory!E:E,SMALL($H$5:$H$304,5))="","",INDEX(Inventory!E:E,SMALL($H$5:$H$304,5))),"")</f>
        <v/>
      </c>
      <c r="F9" s="13" t="str">
        <f aca="false">IFERROR(IF(INDEX(Inventory!F:F,SMALL($H$5:$H$304,5))="","",INDEX(Inventory!F:F,SMALL($H$5:$H$304,5))),"")</f>
        <v/>
      </c>
      <c r="G9" s="13" t="str">
        <f aca="false">IFERROR(IF(INDEX(Inventory!G:G,SMALL($H$5:$H$304,5))="","",INDEX(Inventory!G:G,SMALL($H$5:$H$304,5))),"")</f>
        <v/>
      </c>
      <c r="H9" s="1" t="str">
        <f aca="false">IF(Inventory!A7="","",IF(ISNUMBER(SEARCH($C$2,Inventory!A7)),ROW(Inventory!A7),""))</f>
        <v/>
      </c>
    </row>
    <row r="10" customFormat="false" ht="15" hidden="false" customHeight="false" outlineLevel="0" collapsed="false">
      <c r="A10" s="11" t="str">
        <f aca="false">IFERROR(IF(INDEX(Inventory!A:A,SMALL($H$5:$H$304,6))="","",INDEX(Inventory!A:A,SMALL($H$5:$H$304,6))),"")</f>
        <v/>
      </c>
      <c r="B10" s="11" t="str">
        <f aca="false">IFERROR(IF(INDEX(Inventory!B:B,SMALL($H$5:$H$304,6))="","",INDEX(Inventory!B:B,SMALL($H$5:$H$304,6))),"")</f>
        <v/>
      </c>
      <c r="C10" s="11" t="str">
        <f aca="false">IFERROR(IF(INDEX(Inventory!C:C,SMALL($H$5:$H$304,6))="","",INDEX(Inventory!C:C,SMALL($H$5:$H$304,6))),"")</f>
        <v/>
      </c>
      <c r="D10" s="11" t="str">
        <f aca="false">IFERROR(IF(INDEX(Inventory!D:D,SMALL($H$5:$H$304,6))="","",INDEX(Inventory!D:D,SMALL($H$5:$H$304,6))),"")</f>
        <v/>
      </c>
      <c r="E10" s="11" t="str">
        <f aca="false">IFERROR(IF(INDEX(Inventory!E:E,SMALL($H$5:$H$304,6))="","",INDEX(Inventory!E:E,SMALL($H$5:$H$304,6))),"")</f>
        <v/>
      </c>
      <c r="F10" s="11" t="str">
        <f aca="false">IFERROR(IF(INDEX(Inventory!F:F,SMALL($H$5:$H$304,6))="","",INDEX(Inventory!F:F,SMALL($H$5:$H$304,6))),"")</f>
        <v/>
      </c>
      <c r="G10" s="11" t="str">
        <f aca="false">IFERROR(IF(INDEX(Inventory!G:G,SMALL($H$5:$H$304,6))="","",INDEX(Inventory!G:G,SMALL($H$5:$H$304,6))),"")</f>
        <v/>
      </c>
      <c r="H10" s="1" t="str">
        <f aca="false">IF(Inventory!A8="","",IF(ISNUMBER(SEARCH($C$2,Inventory!A8)),ROW(Inventory!A8),""))</f>
        <v/>
      </c>
    </row>
    <row r="11" customFormat="false" ht="15" hidden="false" customHeight="false" outlineLevel="0" collapsed="false">
      <c r="A11" s="13" t="str">
        <f aca="false">IFERROR(IF(INDEX(Inventory!A:A,SMALL($H$5:$H$304,7))="","",INDEX(Inventory!A:A,SMALL($H$5:$H$304,7))),"")</f>
        <v/>
      </c>
      <c r="B11" s="13" t="str">
        <f aca="false">IFERROR(IF(INDEX(Inventory!B:B,SMALL($H$5:$H$304,7))="","",INDEX(Inventory!B:B,SMALL($H$5:$H$304,7))),"")</f>
        <v/>
      </c>
      <c r="C11" s="13" t="str">
        <f aca="false">IFERROR(IF(INDEX(Inventory!C:C,SMALL($H$5:$H$304,7))="","",INDEX(Inventory!C:C,SMALL($H$5:$H$304,7))),"")</f>
        <v/>
      </c>
      <c r="D11" s="13" t="str">
        <f aca="false">IFERROR(IF(INDEX(Inventory!D:D,SMALL($H$5:$H$304,7))="","",INDEX(Inventory!D:D,SMALL($H$5:$H$304,7))),"")</f>
        <v/>
      </c>
      <c r="E11" s="13" t="str">
        <f aca="false">IFERROR(IF(INDEX(Inventory!E:E,SMALL($H$5:$H$304,7))="","",INDEX(Inventory!E:E,SMALL($H$5:$H$304,7))),"")</f>
        <v/>
      </c>
      <c r="F11" s="13" t="str">
        <f aca="false">IFERROR(IF(INDEX(Inventory!F:F,SMALL($H$5:$H$304,7))="","",INDEX(Inventory!F:F,SMALL($H$5:$H$304,7))),"")</f>
        <v/>
      </c>
      <c r="G11" s="13" t="str">
        <f aca="false">IFERROR(IF(INDEX(Inventory!G:G,SMALL($H$5:$H$304,7))="","",INDEX(Inventory!G:G,SMALL($H$5:$H$304,7))),"")</f>
        <v/>
      </c>
      <c r="H11" s="1" t="str">
        <f aca="false">IF(Inventory!A9="","",IF(ISNUMBER(SEARCH($C$2,Inventory!A9)),ROW(Inventory!A9),""))</f>
        <v/>
      </c>
    </row>
    <row r="12" customFormat="false" ht="15" hidden="false" customHeight="false" outlineLevel="0" collapsed="false">
      <c r="A12" s="11" t="str">
        <f aca="false">IFERROR(IF(INDEX(Inventory!A:A,SMALL($H$5:$H$304,8))="","",INDEX(Inventory!A:A,SMALL($H$5:$H$304,8))),"")</f>
        <v/>
      </c>
      <c r="B12" s="11" t="str">
        <f aca="false">IFERROR(IF(INDEX(Inventory!B:B,SMALL($H$5:$H$304,8))="","",INDEX(Inventory!B:B,SMALL($H$5:$H$304,8))),"")</f>
        <v/>
      </c>
      <c r="C12" s="11" t="str">
        <f aca="false">IFERROR(IF(INDEX(Inventory!C:C,SMALL($H$5:$H$304,8))="","",INDEX(Inventory!C:C,SMALL($H$5:$H$304,8))),"")</f>
        <v/>
      </c>
      <c r="D12" s="11" t="str">
        <f aca="false">IFERROR(IF(INDEX(Inventory!D:D,SMALL($H$5:$H$304,8))="","",INDEX(Inventory!D:D,SMALL($H$5:$H$304,8))),"")</f>
        <v/>
      </c>
      <c r="E12" s="11" t="str">
        <f aca="false">IFERROR(IF(INDEX(Inventory!E:E,SMALL($H$5:$H$304,8))="","",INDEX(Inventory!E:E,SMALL($H$5:$H$304,8))),"")</f>
        <v/>
      </c>
      <c r="F12" s="11" t="str">
        <f aca="false">IFERROR(IF(INDEX(Inventory!F:F,SMALL($H$5:$H$304,8))="","",INDEX(Inventory!F:F,SMALL($H$5:$H$304,8))),"")</f>
        <v/>
      </c>
      <c r="G12" s="11" t="str">
        <f aca="false">IFERROR(IF(INDEX(Inventory!G:G,SMALL($H$5:$H$304,8))="","",INDEX(Inventory!G:G,SMALL($H$5:$H$304,8))),"")</f>
        <v/>
      </c>
      <c r="H12" s="1" t="str">
        <f aca="false">IF(Inventory!A10="","",IF(ISNUMBER(SEARCH($C$2,Inventory!A10)),ROW(Inventory!A10),""))</f>
        <v/>
      </c>
    </row>
    <row r="13" customFormat="false" ht="15" hidden="false" customHeight="false" outlineLevel="0" collapsed="false">
      <c r="A13" s="13" t="str">
        <f aca="false">IFERROR(IF(INDEX(Inventory!A:A,SMALL($H$5:$H$304,9))="","",INDEX(Inventory!A:A,SMALL($H$5:$H$304,9))),"")</f>
        <v/>
      </c>
      <c r="B13" s="13" t="str">
        <f aca="false">IFERROR(IF(INDEX(Inventory!B:B,SMALL($H$5:$H$304,9))="","",INDEX(Inventory!B:B,SMALL($H$5:$H$304,9))),"")</f>
        <v/>
      </c>
      <c r="C13" s="13" t="str">
        <f aca="false">IFERROR(IF(INDEX(Inventory!C:C,SMALL($H$5:$H$304,9))="","",INDEX(Inventory!C:C,SMALL($H$5:$H$304,9))),"")</f>
        <v/>
      </c>
      <c r="D13" s="13" t="str">
        <f aca="false">IFERROR(IF(INDEX(Inventory!D:D,SMALL($H$5:$H$304,9))="","",INDEX(Inventory!D:D,SMALL($H$5:$H$304,9))),"")</f>
        <v/>
      </c>
      <c r="E13" s="13" t="str">
        <f aca="false">IFERROR(IF(INDEX(Inventory!E:E,SMALL($H$5:$H$304,9))="","",INDEX(Inventory!E:E,SMALL($H$5:$H$304,9))),"")</f>
        <v/>
      </c>
      <c r="F13" s="13" t="str">
        <f aca="false">IFERROR(IF(INDEX(Inventory!F:F,SMALL($H$5:$H$304,9))="","",INDEX(Inventory!F:F,SMALL($H$5:$H$304,9))),"")</f>
        <v/>
      </c>
      <c r="G13" s="13" t="str">
        <f aca="false">IFERROR(IF(INDEX(Inventory!G:G,SMALL($H$5:$H$304,9))="","",INDEX(Inventory!G:G,SMALL($H$5:$H$304,9))),"")</f>
        <v/>
      </c>
      <c r="H13" s="1" t="str">
        <f aca="false">IF(Inventory!A11="","",IF(ISNUMBER(SEARCH($C$2,Inventory!A11)),ROW(Inventory!A11),""))</f>
        <v/>
      </c>
    </row>
    <row r="14" customFormat="false" ht="15" hidden="false" customHeight="false" outlineLevel="0" collapsed="false">
      <c r="A14" s="11" t="str">
        <f aca="false">IFERROR(IF(INDEX(Inventory!A:A,SMALL($H$5:$H$304,10))="","",INDEX(Inventory!A:A,SMALL($H$5:$H$304,10))),"")</f>
        <v/>
      </c>
      <c r="B14" s="11" t="str">
        <f aca="false">IFERROR(IF(INDEX(Inventory!B:B,SMALL($H$5:$H$304,10))="","",INDEX(Inventory!B:B,SMALL($H$5:$H$304,10))),"")</f>
        <v/>
      </c>
      <c r="C14" s="11" t="str">
        <f aca="false">IFERROR(IF(INDEX(Inventory!C:C,SMALL($H$5:$H$304,10))="","",INDEX(Inventory!C:C,SMALL($H$5:$H$304,10))),"")</f>
        <v/>
      </c>
      <c r="D14" s="11" t="str">
        <f aca="false">IFERROR(IF(INDEX(Inventory!D:D,SMALL($H$5:$H$304,10))="","",INDEX(Inventory!D:D,SMALL($H$5:$H$304,10))),"")</f>
        <v/>
      </c>
      <c r="E14" s="11" t="str">
        <f aca="false">IFERROR(IF(INDEX(Inventory!E:E,SMALL($H$5:$H$304,10))="","",INDEX(Inventory!E:E,SMALL($H$5:$H$304,10))),"")</f>
        <v/>
      </c>
      <c r="F14" s="11" t="str">
        <f aca="false">IFERROR(IF(INDEX(Inventory!F:F,SMALL($H$5:$H$304,10))="","",INDEX(Inventory!F:F,SMALL($H$5:$H$304,10))),"")</f>
        <v/>
      </c>
      <c r="G14" s="11" t="str">
        <f aca="false">IFERROR(IF(INDEX(Inventory!G:G,SMALL($H$5:$H$304,10))="","",INDEX(Inventory!G:G,SMALL($H$5:$H$304,10))),"")</f>
        <v/>
      </c>
      <c r="H14" s="1" t="str">
        <f aca="false">IF(Inventory!A12="","",IF(ISNUMBER(SEARCH($C$2,Inventory!A12)),ROW(Inventory!A12),""))</f>
        <v/>
      </c>
    </row>
    <row r="15" customFormat="false" ht="15" hidden="false" customHeight="false" outlineLevel="0" collapsed="false">
      <c r="A15" s="13" t="str">
        <f aca="false">IFERROR(IF(INDEX(Inventory!A:A,SMALL($H$5:$H$304,11))="","",INDEX(Inventory!A:A,SMALL($H$5:$H$304,11))),"")</f>
        <v/>
      </c>
      <c r="B15" s="13" t="str">
        <f aca="false">IFERROR(IF(INDEX(Inventory!B:B,SMALL($H$5:$H$304,11))="","",INDEX(Inventory!B:B,SMALL($H$5:$H$304,11))),"")</f>
        <v/>
      </c>
      <c r="C15" s="13" t="str">
        <f aca="false">IFERROR(IF(INDEX(Inventory!C:C,SMALL($H$5:$H$304,11))="","",INDEX(Inventory!C:C,SMALL($H$5:$H$304,11))),"")</f>
        <v/>
      </c>
      <c r="D15" s="13" t="str">
        <f aca="false">IFERROR(IF(INDEX(Inventory!D:D,SMALL($H$5:$H$304,11))="","",INDEX(Inventory!D:D,SMALL($H$5:$H$304,11))),"")</f>
        <v/>
      </c>
      <c r="E15" s="13" t="str">
        <f aca="false">IFERROR(IF(INDEX(Inventory!E:E,SMALL($H$5:$H$304,11))="","",INDEX(Inventory!E:E,SMALL($H$5:$H$304,11))),"")</f>
        <v/>
      </c>
      <c r="F15" s="13" t="str">
        <f aca="false">IFERROR(IF(INDEX(Inventory!F:F,SMALL($H$5:$H$304,11))="","",INDEX(Inventory!F:F,SMALL($H$5:$H$304,11))),"")</f>
        <v/>
      </c>
      <c r="G15" s="13" t="str">
        <f aca="false">IFERROR(IF(INDEX(Inventory!G:G,SMALL($H$5:$H$304,11))="","",INDEX(Inventory!G:G,SMALL($H$5:$H$304,11))),"")</f>
        <v/>
      </c>
      <c r="H15" s="1" t="str">
        <f aca="false">IF(Inventory!A13="","",IF(ISNUMBER(SEARCH($C$2,Inventory!A13)),ROW(Inventory!A13),""))</f>
        <v/>
      </c>
    </row>
    <row r="16" customFormat="false" ht="15" hidden="false" customHeight="false" outlineLevel="0" collapsed="false">
      <c r="A16" s="11" t="str">
        <f aca="false">IFERROR(IF(INDEX(Inventory!A:A,SMALL($H$5:$H$304,12))="","",INDEX(Inventory!A:A,SMALL($H$5:$H$304,12))),"")</f>
        <v/>
      </c>
      <c r="B16" s="11" t="str">
        <f aca="false">IFERROR(IF(INDEX(Inventory!B:B,SMALL($H$5:$H$304,12))="","",INDEX(Inventory!B:B,SMALL($H$5:$H$304,12))),"")</f>
        <v/>
      </c>
      <c r="C16" s="11" t="str">
        <f aca="false">IFERROR(IF(INDEX(Inventory!C:C,SMALL($H$5:$H$304,12))="","",INDEX(Inventory!C:C,SMALL($H$5:$H$304,12))),"")</f>
        <v/>
      </c>
      <c r="D16" s="11" t="str">
        <f aca="false">IFERROR(IF(INDEX(Inventory!D:D,SMALL($H$5:$H$304,12))="","",INDEX(Inventory!D:D,SMALL($H$5:$H$304,12))),"")</f>
        <v/>
      </c>
      <c r="E16" s="11" t="str">
        <f aca="false">IFERROR(IF(INDEX(Inventory!E:E,SMALL($H$5:$H$304,12))="","",INDEX(Inventory!E:E,SMALL($H$5:$H$304,12))),"")</f>
        <v/>
      </c>
      <c r="F16" s="11" t="str">
        <f aca="false">IFERROR(IF(INDEX(Inventory!F:F,SMALL($H$5:$H$304,12))="","",INDEX(Inventory!F:F,SMALL($H$5:$H$304,12))),"")</f>
        <v/>
      </c>
      <c r="G16" s="11" t="str">
        <f aca="false">IFERROR(IF(INDEX(Inventory!G:G,SMALL($H$5:$H$304,12))="","",INDEX(Inventory!G:G,SMALL($H$5:$H$304,12))),"")</f>
        <v/>
      </c>
      <c r="H16" s="1" t="str">
        <f aca="false">IF(Inventory!A14="","",IF(ISNUMBER(SEARCH($C$2,Inventory!A14)),ROW(Inventory!A14),""))</f>
        <v/>
      </c>
    </row>
    <row r="17" customFormat="false" ht="15" hidden="false" customHeight="false" outlineLevel="0" collapsed="false">
      <c r="A17" s="13" t="str">
        <f aca="false">IFERROR(IF(INDEX(Inventory!A:A,SMALL($H$5:$H$304,13))="","",INDEX(Inventory!A:A,SMALL($H$5:$H$304,13))),"")</f>
        <v/>
      </c>
      <c r="B17" s="13" t="str">
        <f aca="false">IFERROR(IF(INDEX(Inventory!B:B,SMALL($H$5:$H$304,13))="","",INDEX(Inventory!B:B,SMALL($H$5:$H$304,13))),"")</f>
        <v/>
      </c>
      <c r="C17" s="13" t="str">
        <f aca="false">IFERROR(IF(INDEX(Inventory!C:C,SMALL($H$5:$H$304,13))="","",INDEX(Inventory!C:C,SMALL($H$5:$H$304,13))),"")</f>
        <v/>
      </c>
      <c r="D17" s="13" t="str">
        <f aca="false">IFERROR(IF(INDEX(Inventory!D:D,SMALL($H$5:$H$304,13))="","",INDEX(Inventory!D:D,SMALL($H$5:$H$304,13))),"")</f>
        <v/>
      </c>
      <c r="E17" s="13" t="str">
        <f aca="false">IFERROR(IF(INDEX(Inventory!E:E,SMALL($H$5:$H$304,13))="","",INDEX(Inventory!E:E,SMALL($H$5:$H$304,13))),"")</f>
        <v/>
      </c>
      <c r="F17" s="13" t="str">
        <f aca="false">IFERROR(IF(INDEX(Inventory!F:F,SMALL($H$5:$H$304,13))="","",INDEX(Inventory!F:F,SMALL($H$5:$H$304,13))),"")</f>
        <v/>
      </c>
      <c r="G17" s="13" t="str">
        <f aca="false">IFERROR(IF(INDEX(Inventory!G:G,SMALL($H$5:$H$304,13))="","",INDEX(Inventory!G:G,SMALL($H$5:$H$304,13))),"")</f>
        <v/>
      </c>
      <c r="H17" s="1" t="str">
        <f aca="false">IF(Inventory!A15="","",IF(ISNUMBER(SEARCH($C$2,Inventory!A15)),ROW(Inventory!A15),""))</f>
        <v/>
      </c>
    </row>
    <row r="18" customFormat="false" ht="15" hidden="false" customHeight="false" outlineLevel="0" collapsed="false">
      <c r="A18" s="11" t="str">
        <f aca="false">IFERROR(IF(INDEX(Inventory!A:A,SMALL($H$5:$H$304,14))="","",INDEX(Inventory!A:A,SMALL($H$5:$H$304,14))),"")</f>
        <v/>
      </c>
      <c r="B18" s="11" t="str">
        <f aca="false">IFERROR(IF(INDEX(Inventory!B:B,SMALL($H$5:$H$304,14))="","",INDEX(Inventory!B:B,SMALL($H$5:$H$304,14))),"")</f>
        <v/>
      </c>
      <c r="C18" s="11" t="str">
        <f aca="false">IFERROR(IF(INDEX(Inventory!C:C,SMALL($H$5:$H$304,14))="","",INDEX(Inventory!C:C,SMALL($H$5:$H$304,14))),"")</f>
        <v/>
      </c>
      <c r="D18" s="11" t="str">
        <f aca="false">IFERROR(IF(INDEX(Inventory!D:D,SMALL($H$5:$H$304,14))="","",INDEX(Inventory!D:D,SMALL($H$5:$H$304,14))),"")</f>
        <v/>
      </c>
      <c r="E18" s="11" t="str">
        <f aca="false">IFERROR(IF(INDEX(Inventory!E:E,SMALL($H$5:$H$304,14))="","",INDEX(Inventory!E:E,SMALL($H$5:$H$304,14))),"")</f>
        <v/>
      </c>
      <c r="F18" s="11" t="str">
        <f aca="false">IFERROR(IF(INDEX(Inventory!F:F,SMALL($H$5:$H$304,14))="","",INDEX(Inventory!F:F,SMALL($H$5:$H$304,14))),"")</f>
        <v/>
      </c>
      <c r="G18" s="11" t="str">
        <f aca="false">IFERROR(IF(INDEX(Inventory!G:G,SMALL($H$5:$H$304,14))="","",INDEX(Inventory!G:G,SMALL($H$5:$H$304,14))),"")</f>
        <v/>
      </c>
      <c r="H18" s="1" t="str">
        <f aca="false">IF(Inventory!A16="","",IF(ISNUMBER(SEARCH($C$2,Inventory!A16)),ROW(Inventory!A16),""))</f>
        <v/>
      </c>
    </row>
    <row r="19" customFormat="false" ht="15" hidden="false" customHeight="false" outlineLevel="0" collapsed="false">
      <c r="A19" s="13" t="str">
        <f aca="false">IFERROR(IF(INDEX(Inventory!A:A,SMALL($H$5:$H$304,15))="","",INDEX(Inventory!A:A,SMALL($H$5:$H$304,15))),"")</f>
        <v/>
      </c>
      <c r="B19" s="13" t="str">
        <f aca="false">IFERROR(IF(INDEX(Inventory!B:B,SMALL($H$5:$H$304,15))="","",INDEX(Inventory!B:B,SMALL($H$5:$H$304,15))),"")</f>
        <v/>
      </c>
      <c r="C19" s="13" t="str">
        <f aca="false">IFERROR(IF(INDEX(Inventory!C:C,SMALL($H$5:$H$304,15))="","",INDEX(Inventory!C:C,SMALL($H$5:$H$304,15))),"")</f>
        <v/>
      </c>
      <c r="D19" s="13" t="str">
        <f aca="false">IFERROR(IF(INDEX(Inventory!D:D,SMALL($H$5:$H$304,15))="","",INDEX(Inventory!D:D,SMALL($H$5:$H$304,15))),"")</f>
        <v/>
      </c>
      <c r="E19" s="13" t="str">
        <f aca="false">IFERROR(IF(INDEX(Inventory!E:E,SMALL($H$5:$H$304,15))="","",INDEX(Inventory!E:E,SMALL($H$5:$H$304,15))),"")</f>
        <v/>
      </c>
      <c r="F19" s="13" t="str">
        <f aca="false">IFERROR(IF(INDEX(Inventory!F:F,SMALL($H$5:$H$304,15))="","",INDEX(Inventory!F:F,SMALL($H$5:$H$304,15))),"")</f>
        <v/>
      </c>
      <c r="G19" s="13" t="str">
        <f aca="false">IFERROR(IF(INDEX(Inventory!G:G,SMALL($H$5:$H$304,15))="","",INDEX(Inventory!G:G,SMALL($H$5:$H$304,15))),"")</f>
        <v/>
      </c>
      <c r="H19" s="1" t="str">
        <f aca="false">IF(Inventory!A17="","",IF(ISNUMBER(SEARCH($C$2,Inventory!A17)),ROW(Inventory!A17),""))</f>
        <v/>
      </c>
    </row>
    <row r="20" customFormat="false" ht="15" hidden="false" customHeight="false" outlineLevel="0" collapsed="false">
      <c r="A20" s="11" t="str">
        <f aca="false">IFERROR(IF(INDEX(Inventory!A:A,SMALL($H$5:$H$304,16))="","",INDEX(Inventory!A:A,SMALL($H$5:$H$304,16))),"")</f>
        <v/>
      </c>
      <c r="B20" s="11" t="str">
        <f aca="false">IFERROR(IF(INDEX(Inventory!B:B,SMALL($H$5:$H$304,16))="","",INDEX(Inventory!B:B,SMALL($H$5:$H$304,16))),"")</f>
        <v/>
      </c>
      <c r="C20" s="11" t="str">
        <f aca="false">IFERROR(IF(INDEX(Inventory!C:C,SMALL($H$5:$H$304,16))="","",INDEX(Inventory!C:C,SMALL($H$5:$H$304,16))),"")</f>
        <v/>
      </c>
      <c r="D20" s="11" t="str">
        <f aca="false">IFERROR(IF(INDEX(Inventory!D:D,SMALL($H$5:$H$304,16))="","",INDEX(Inventory!D:D,SMALL($H$5:$H$304,16))),"")</f>
        <v/>
      </c>
      <c r="E20" s="11" t="str">
        <f aca="false">IFERROR(IF(INDEX(Inventory!E:E,SMALL($H$5:$H$304,16))="","",INDEX(Inventory!E:E,SMALL($H$5:$H$304,16))),"")</f>
        <v/>
      </c>
      <c r="F20" s="11" t="str">
        <f aca="false">IFERROR(IF(INDEX(Inventory!F:F,SMALL($H$5:$H$304,16))="","",INDEX(Inventory!F:F,SMALL($H$5:$H$304,16))),"")</f>
        <v/>
      </c>
      <c r="G20" s="11" t="str">
        <f aca="false">IFERROR(IF(INDEX(Inventory!G:G,SMALL($H$5:$H$304,16))="","",INDEX(Inventory!G:G,SMALL($H$5:$H$304,16))),"")</f>
        <v/>
      </c>
      <c r="H20" s="1" t="str">
        <f aca="false">IF(Inventory!A18="","",IF(ISNUMBER(SEARCH($C$2,Inventory!A18)),ROW(Inventory!A18),""))</f>
        <v/>
      </c>
    </row>
    <row r="21" customFormat="false" ht="15" hidden="false" customHeight="false" outlineLevel="0" collapsed="false">
      <c r="A21" s="13" t="str">
        <f aca="false">IFERROR(IF(INDEX(Inventory!A:A,SMALL($H$5:$H$304,17))="","",INDEX(Inventory!A:A,SMALL($H$5:$H$304,17))),"")</f>
        <v/>
      </c>
      <c r="B21" s="13" t="str">
        <f aca="false">IFERROR(IF(INDEX(Inventory!B:B,SMALL($H$5:$H$304,17))="","",INDEX(Inventory!B:B,SMALL($H$5:$H$304,17))),"")</f>
        <v/>
      </c>
      <c r="C21" s="13" t="str">
        <f aca="false">IFERROR(IF(INDEX(Inventory!C:C,SMALL($H$5:$H$304,17))="","",INDEX(Inventory!C:C,SMALL($H$5:$H$304,17))),"")</f>
        <v/>
      </c>
      <c r="D21" s="13" t="str">
        <f aca="false">IFERROR(IF(INDEX(Inventory!D:D,SMALL($H$5:$H$304,17))="","",INDEX(Inventory!D:D,SMALL($H$5:$H$304,17))),"")</f>
        <v/>
      </c>
      <c r="E21" s="13" t="str">
        <f aca="false">IFERROR(IF(INDEX(Inventory!E:E,SMALL($H$5:$H$304,17))="","",INDEX(Inventory!E:E,SMALL($H$5:$H$304,17))),"")</f>
        <v/>
      </c>
      <c r="F21" s="13" t="str">
        <f aca="false">IFERROR(IF(INDEX(Inventory!F:F,SMALL($H$5:$H$304,17))="","",INDEX(Inventory!F:F,SMALL($H$5:$H$304,17))),"")</f>
        <v/>
      </c>
      <c r="G21" s="13" t="str">
        <f aca="false">IFERROR(IF(INDEX(Inventory!G:G,SMALL($H$5:$H$304,17))="","",INDEX(Inventory!G:G,SMALL($H$5:$H$304,17))),"")</f>
        <v/>
      </c>
      <c r="H21" s="1" t="str">
        <f aca="false">IF(Inventory!A19="","",IF(ISNUMBER(SEARCH($C$2,Inventory!A19)),ROW(Inventory!A19),""))</f>
        <v/>
      </c>
    </row>
    <row r="22" customFormat="false" ht="15" hidden="false" customHeight="false" outlineLevel="0" collapsed="false">
      <c r="A22" s="11" t="str">
        <f aca="false">IFERROR(IF(INDEX(Inventory!A:A,SMALL($H$5:$H$304,18))="","",INDEX(Inventory!A:A,SMALL($H$5:$H$304,18))),"")</f>
        <v/>
      </c>
      <c r="B22" s="11" t="str">
        <f aca="false">IFERROR(IF(INDEX(Inventory!B:B,SMALL($H$5:$H$304,18))="","",INDEX(Inventory!B:B,SMALL($H$5:$H$304,18))),"")</f>
        <v/>
      </c>
      <c r="C22" s="11" t="str">
        <f aca="false">IFERROR(IF(INDEX(Inventory!C:C,SMALL($H$5:$H$304,18))="","",INDEX(Inventory!C:C,SMALL($H$5:$H$304,18))),"")</f>
        <v/>
      </c>
      <c r="D22" s="11" t="str">
        <f aca="false">IFERROR(IF(INDEX(Inventory!D:D,SMALL($H$5:$H$304,18))="","",INDEX(Inventory!D:D,SMALL($H$5:$H$304,18))),"")</f>
        <v/>
      </c>
      <c r="E22" s="11" t="str">
        <f aca="false">IFERROR(IF(INDEX(Inventory!E:E,SMALL($H$5:$H$304,18))="","",INDEX(Inventory!E:E,SMALL($H$5:$H$304,18))),"")</f>
        <v/>
      </c>
      <c r="F22" s="11" t="str">
        <f aca="false">IFERROR(IF(INDEX(Inventory!F:F,SMALL($H$5:$H$304,18))="","",INDEX(Inventory!F:F,SMALL($H$5:$H$304,18))),"")</f>
        <v/>
      </c>
      <c r="G22" s="11" t="str">
        <f aca="false">IFERROR(IF(INDEX(Inventory!G:G,SMALL($H$5:$H$304,18))="","",INDEX(Inventory!G:G,SMALL($H$5:$H$304,18))),"")</f>
        <v/>
      </c>
      <c r="H22" s="1" t="str">
        <f aca="false">IF(Inventory!A20="","",IF(ISNUMBER(SEARCH($C$2,Inventory!A20)),ROW(Inventory!A20),""))</f>
        <v/>
      </c>
    </row>
    <row r="23" customFormat="false" ht="15" hidden="false" customHeight="false" outlineLevel="0" collapsed="false">
      <c r="A23" s="13" t="str">
        <f aca="false">IFERROR(IF(INDEX(Inventory!A:A,SMALL($H$5:$H$304,19))="","",INDEX(Inventory!A:A,SMALL($H$5:$H$304,19))),"")</f>
        <v/>
      </c>
      <c r="B23" s="13" t="str">
        <f aca="false">IFERROR(IF(INDEX(Inventory!B:B,SMALL($H$5:$H$304,19))="","",INDEX(Inventory!B:B,SMALL($H$5:$H$304,19))),"")</f>
        <v/>
      </c>
      <c r="C23" s="13" t="str">
        <f aca="false">IFERROR(IF(INDEX(Inventory!C:C,SMALL($H$5:$H$304,19))="","",INDEX(Inventory!C:C,SMALL($H$5:$H$304,19))),"")</f>
        <v/>
      </c>
      <c r="D23" s="13" t="str">
        <f aca="false">IFERROR(IF(INDEX(Inventory!D:D,SMALL($H$5:$H$304,19))="","",INDEX(Inventory!D:D,SMALL($H$5:$H$304,19))),"")</f>
        <v/>
      </c>
      <c r="E23" s="13" t="str">
        <f aca="false">IFERROR(IF(INDEX(Inventory!E:E,SMALL($H$5:$H$304,19))="","",INDEX(Inventory!E:E,SMALL($H$5:$H$304,19))),"")</f>
        <v/>
      </c>
      <c r="F23" s="13" t="str">
        <f aca="false">IFERROR(IF(INDEX(Inventory!F:F,SMALL($H$5:$H$304,19))="","",INDEX(Inventory!F:F,SMALL($H$5:$H$304,19))),"")</f>
        <v/>
      </c>
      <c r="G23" s="13" t="str">
        <f aca="false">IFERROR(IF(INDEX(Inventory!G:G,SMALL($H$5:$H$304,19))="","",INDEX(Inventory!G:G,SMALL($H$5:$H$304,19))),"")</f>
        <v/>
      </c>
      <c r="H23" s="1" t="str">
        <f aca="false">IF(Inventory!A21="","",IF(ISNUMBER(SEARCH($C$2,Inventory!A21)),ROW(Inventory!A21),""))</f>
        <v/>
      </c>
    </row>
    <row r="24" customFormat="false" ht="15" hidden="false" customHeight="false" outlineLevel="0" collapsed="false">
      <c r="A24" s="11" t="str">
        <f aca="false">IFERROR(IF(INDEX(Inventory!A:A,SMALL($H$5:$H$304,20))="","",INDEX(Inventory!A:A,SMALL($H$5:$H$304,20))),"")</f>
        <v/>
      </c>
      <c r="B24" s="11" t="str">
        <f aca="false">IFERROR(IF(INDEX(Inventory!B:B,SMALL($H$5:$H$304,20))="","",INDEX(Inventory!B:B,SMALL($H$5:$H$304,20))),"")</f>
        <v/>
      </c>
      <c r="C24" s="11" t="str">
        <f aca="false">IFERROR(IF(INDEX(Inventory!C:C,SMALL($H$5:$H$304,20))="","",INDEX(Inventory!C:C,SMALL($H$5:$H$304,20))),"")</f>
        <v/>
      </c>
      <c r="D24" s="11" t="str">
        <f aca="false">IFERROR(IF(INDEX(Inventory!D:D,SMALL($H$5:$H$304,20))="","",INDEX(Inventory!D:D,SMALL($H$5:$H$304,20))),"")</f>
        <v/>
      </c>
      <c r="E24" s="11" t="str">
        <f aca="false">IFERROR(IF(INDEX(Inventory!E:E,SMALL($H$5:$H$304,20))="","",INDEX(Inventory!E:E,SMALL($H$5:$H$304,20))),"")</f>
        <v/>
      </c>
      <c r="F24" s="11" t="str">
        <f aca="false">IFERROR(IF(INDEX(Inventory!F:F,SMALL($H$5:$H$304,20))="","",INDEX(Inventory!F:F,SMALL($H$5:$H$304,20))),"")</f>
        <v/>
      </c>
      <c r="G24" s="11" t="str">
        <f aca="false">IFERROR(IF(INDEX(Inventory!G:G,SMALL($H$5:$H$304,20))="","",INDEX(Inventory!G:G,SMALL($H$5:$H$304,20))),"")</f>
        <v/>
      </c>
      <c r="H24" s="1" t="str">
        <f aca="false">IF(Inventory!A22="","",IF(ISNUMBER(SEARCH($C$2,Inventory!A22)),ROW(Inventory!A22),""))</f>
        <v/>
      </c>
    </row>
    <row r="25" customFormat="false" ht="15" hidden="false" customHeight="false" outlineLevel="0" collapsed="false">
      <c r="A25" s="13" t="str">
        <f aca="false">IFERROR(IF(INDEX(Inventory!A:A,SMALL($H$5:$H$304,21))="","",INDEX(Inventory!A:A,SMALL($H$5:$H$304,21))),"")</f>
        <v/>
      </c>
      <c r="B25" s="13" t="str">
        <f aca="false">IFERROR(IF(INDEX(Inventory!B:B,SMALL($H$5:$H$304,21))="","",INDEX(Inventory!B:B,SMALL($H$5:$H$304,21))),"")</f>
        <v/>
      </c>
      <c r="C25" s="13" t="str">
        <f aca="false">IFERROR(IF(INDEX(Inventory!C:C,SMALL($H$5:$H$304,21))="","",INDEX(Inventory!C:C,SMALL($H$5:$H$304,21))),"")</f>
        <v/>
      </c>
      <c r="D25" s="13" t="str">
        <f aca="false">IFERROR(IF(INDEX(Inventory!D:D,SMALL($H$5:$H$304,21))="","",INDEX(Inventory!D:D,SMALL($H$5:$H$304,21))),"")</f>
        <v/>
      </c>
      <c r="E25" s="13" t="str">
        <f aca="false">IFERROR(IF(INDEX(Inventory!E:E,SMALL($H$5:$H$304,21))="","",INDEX(Inventory!E:E,SMALL($H$5:$H$304,21))),"")</f>
        <v/>
      </c>
      <c r="F25" s="13" t="str">
        <f aca="false">IFERROR(IF(INDEX(Inventory!F:F,SMALL($H$5:$H$304,21))="","",INDEX(Inventory!F:F,SMALL($H$5:$H$304,21))),"")</f>
        <v/>
      </c>
      <c r="G25" s="13" t="str">
        <f aca="false">IFERROR(IF(INDEX(Inventory!G:G,SMALL($H$5:$H$304,21))="","",INDEX(Inventory!G:G,SMALL($H$5:$H$304,21))),"")</f>
        <v/>
      </c>
      <c r="H25" s="1" t="str">
        <f aca="false">IF(Inventory!A23="","",IF(ISNUMBER(SEARCH($C$2,Inventory!A23)),ROW(Inventory!A23),""))</f>
        <v/>
      </c>
    </row>
    <row r="26" customFormat="false" ht="15" hidden="false" customHeight="false" outlineLevel="0" collapsed="false">
      <c r="A26" s="11" t="str">
        <f aca="false">IFERROR(IF(INDEX(Inventory!A:A,SMALL($H$5:$H$304,22))="","",INDEX(Inventory!A:A,SMALL($H$5:$H$304,22))),"")</f>
        <v/>
      </c>
      <c r="B26" s="11" t="str">
        <f aca="false">IFERROR(IF(INDEX(Inventory!B:B,SMALL($H$5:$H$304,22))="","",INDEX(Inventory!B:B,SMALL($H$5:$H$304,22))),"")</f>
        <v/>
      </c>
      <c r="C26" s="11" t="str">
        <f aca="false">IFERROR(IF(INDEX(Inventory!C:C,SMALL($H$5:$H$304,22))="","",INDEX(Inventory!C:C,SMALL($H$5:$H$304,22))),"")</f>
        <v/>
      </c>
      <c r="D26" s="11" t="str">
        <f aca="false">IFERROR(IF(INDEX(Inventory!D:D,SMALL($H$5:$H$304,22))="","",INDEX(Inventory!D:D,SMALL($H$5:$H$304,22))),"")</f>
        <v/>
      </c>
      <c r="E26" s="11" t="str">
        <f aca="false">IFERROR(IF(INDEX(Inventory!E:E,SMALL($H$5:$H$304,22))="","",INDEX(Inventory!E:E,SMALL($H$5:$H$304,22))),"")</f>
        <v/>
      </c>
      <c r="F26" s="11" t="str">
        <f aca="false">IFERROR(IF(INDEX(Inventory!F:F,SMALL($H$5:$H$304,22))="","",INDEX(Inventory!F:F,SMALL($H$5:$H$304,22))),"")</f>
        <v/>
      </c>
      <c r="G26" s="11" t="str">
        <f aca="false">IFERROR(IF(INDEX(Inventory!G:G,SMALL($H$5:$H$304,22))="","",INDEX(Inventory!G:G,SMALL($H$5:$H$304,22))),"")</f>
        <v/>
      </c>
      <c r="H26" s="1" t="str">
        <f aca="false">IF(Inventory!A24="","",IF(ISNUMBER(SEARCH($C$2,Inventory!A24)),ROW(Inventory!A24),""))</f>
        <v/>
      </c>
    </row>
    <row r="27" customFormat="false" ht="15" hidden="false" customHeight="false" outlineLevel="0" collapsed="false">
      <c r="A27" s="13" t="str">
        <f aca="false">IFERROR(IF(INDEX(Inventory!A:A,SMALL($H$5:$H$304,23))="","",INDEX(Inventory!A:A,SMALL($H$5:$H$304,23))),"")</f>
        <v/>
      </c>
      <c r="B27" s="13" t="str">
        <f aca="false">IFERROR(IF(INDEX(Inventory!B:B,SMALL($H$5:$H$304,23))="","",INDEX(Inventory!B:B,SMALL($H$5:$H$304,23))),"")</f>
        <v/>
      </c>
      <c r="C27" s="13" t="str">
        <f aca="false">IFERROR(IF(INDEX(Inventory!C:C,SMALL($H$5:$H$304,23))="","",INDEX(Inventory!C:C,SMALL($H$5:$H$304,23))),"")</f>
        <v/>
      </c>
      <c r="D27" s="13" t="str">
        <f aca="false">IFERROR(IF(INDEX(Inventory!D:D,SMALL($H$5:$H$304,23))="","",INDEX(Inventory!D:D,SMALL($H$5:$H$304,23))),"")</f>
        <v/>
      </c>
      <c r="E27" s="13" t="str">
        <f aca="false">IFERROR(IF(INDEX(Inventory!E:E,SMALL($H$5:$H$304,23))="","",INDEX(Inventory!E:E,SMALL($H$5:$H$304,23))),"")</f>
        <v/>
      </c>
      <c r="F27" s="13" t="str">
        <f aca="false">IFERROR(IF(INDEX(Inventory!F:F,SMALL($H$5:$H$304,23))="","",INDEX(Inventory!F:F,SMALL($H$5:$H$304,23))),"")</f>
        <v/>
      </c>
      <c r="G27" s="13" t="str">
        <f aca="false">IFERROR(IF(INDEX(Inventory!G:G,SMALL($H$5:$H$304,23))="","",INDEX(Inventory!G:G,SMALL($H$5:$H$304,23))),"")</f>
        <v/>
      </c>
      <c r="H27" s="1" t="str">
        <f aca="false">IF(Inventory!A25="","",IF(ISNUMBER(SEARCH($C$2,Inventory!A25)),ROW(Inventory!A25),""))</f>
        <v/>
      </c>
    </row>
    <row r="28" customFormat="false" ht="15" hidden="false" customHeight="false" outlineLevel="0" collapsed="false">
      <c r="A28" s="11" t="str">
        <f aca="false">IFERROR(IF(INDEX(Inventory!A:A,SMALL($H$5:$H$304,24))="","",INDEX(Inventory!A:A,SMALL($H$5:$H$304,24))),"")</f>
        <v/>
      </c>
      <c r="B28" s="11" t="str">
        <f aca="false">IFERROR(IF(INDEX(Inventory!B:B,SMALL($H$5:$H$304,24))="","",INDEX(Inventory!B:B,SMALL($H$5:$H$304,24))),"")</f>
        <v/>
      </c>
      <c r="C28" s="11" t="str">
        <f aca="false">IFERROR(IF(INDEX(Inventory!C:C,SMALL($H$5:$H$304,24))="","",INDEX(Inventory!C:C,SMALL($H$5:$H$304,24))),"")</f>
        <v/>
      </c>
      <c r="D28" s="11" t="str">
        <f aca="false">IFERROR(IF(INDEX(Inventory!D:D,SMALL($H$5:$H$304,24))="","",INDEX(Inventory!D:D,SMALL($H$5:$H$304,24))),"")</f>
        <v/>
      </c>
      <c r="E28" s="11" t="str">
        <f aca="false">IFERROR(IF(INDEX(Inventory!E:E,SMALL($H$5:$H$304,24))="","",INDEX(Inventory!E:E,SMALL($H$5:$H$304,24))),"")</f>
        <v/>
      </c>
      <c r="F28" s="11" t="str">
        <f aca="false">IFERROR(IF(INDEX(Inventory!F:F,SMALL($H$5:$H$304,24))="","",INDEX(Inventory!F:F,SMALL($H$5:$H$304,24))),"")</f>
        <v/>
      </c>
      <c r="G28" s="11" t="str">
        <f aca="false">IFERROR(IF(INDEX(Inventory!G:G,SMALL($H$5:$H$304,24))="","",INDEX(Inventory!G:G,SMALL($H$5:$H$304,24))),"")</f>
        <v/>
      </c>
      <c r="H28" s="1" t="str">
        <f aca="false">IF(Inventory!A26="","",IF(ISNUMBER(SEARCH($C$2,Inventory!A26)),ROW(Inventory!A26),""))</f>
        <v/>
      </c>
    </row>
    <row r="29" customFormat="false" ht="15" hidden="false" customHeight="false" outlineLevel="0" collapsed="false">
      <c r="A29" s="13" t="str">
        <f aca="false">IFERROR(IF(INDEX(Inventory!A:A,SMALL($H$5:$H$304,25))="","",INDEX(Inventory!A:A,SMALL($H$5:$H$304,25))),"")</f>
        <v/>
      </c>
      <c r="B29" s="13" t="str">
        <f aca="false">IFERROR(IF(INDEX(Inventory!B:B,SMALL($H$5:$H$304,25))="","",INDEX(Inventory!B:B,SMALL($H$5:$H$304,25))),"")</f>
        <v/>
      </c>
      <c r="C29" s="13" t="str">
        <f aca="false">IFERROR(IF(INDEX(Inventory!C:C,SMALL($H$5:$H$304,25))="","",INDEX(Inventory!C:C,SMALL($H$5:$H$304,25))),"")</f>
        <v/>
      </c>
      <c r="D29" s="13" t="str">
        <f aca="false">IFERROR(IF(INDEX(Inventory!D:D,SMALL($H$5:$H$304,25))="","",INDEX(Inventory!D:D,SMALL($H$5:$H$304,25))),"")</f>
        <v/>
      </c>
      <c r="E29" s="13" t="str">
        <f aca="false">IFERROR(IF(INDEX(Inventory!E:E,SMALL($H$5:$H$304,25))="","",INDEX(Inventory!E:E,SMALL($H$5:$H$304,25))),"")</f>
        <v/>
      </c>
      <c r="F29" s="13" t="str">
        <f aca="false">IFERROR(IF(INDEX(Inventory!F:F,SMALL($H$5:$H$304,25))="","",INDEX(Inventory!F:F,SMALL($H$5:$H$304,25))),"")</f>
        <v/>
      </c>
      <c r="G29" s="13" t="str">
        <f aca="false">IFERROR(IF(INDEX(Inventory!G:G,SMALL($H$5:$H$304,25))="","",INDEX(Inventory!G:G,SMALL($H$5:$H$304,25))),"")</f>
        <v/>
      </c>
      <c r="H29" s="1" t="str">
        <f aca="false">IF(Inventory!A27="","",IF(ISNUMBER(SEARCH($C$2,Inventory!A27)),ROW(Inventory!A27),""))</f>
        <v/>
      </c>
    </row>
    <row r="30" customFormat="false" ht="15" hidden="false" customHeight="false" outlineLevel="0" collapsed="false">
      <c r="A30" s="11" t="str">
        <f aca="false">IFERROR(IF(INDEX(Inventory!A:A,SMALL($H$5:$H$304,26))="","",INDEX(Inventory!A:A,SMALL($H$5:$H$304,26))),"")</f>
        <v/>
      </c>
      <c r="B30" s="11" t="str">
        <f aca="false">IFERROR(IF(INDEX(Inventory!B:B,SMALL($H$5:$H$304,26))="","",INDEX(Inventory!B:B,SMALL($H$5:$H$304,26))),"")</f>
        <v/>
      </c>
      <c r="C30" s="11" t="str">
        <f aca="false">IFERROR(IF(INDEX(Inventory!C:C,SMALL($H$5:$H$304,26))="","",INDEX(Inventory!C:C,SMALL($H$5:$H$304,26))),"")</f>
        <v/>
      </c>
      <c r="D30" s="11" t="str">
        <f aca="false">IFERROR(IF(INDEX(Inventory!D:D,SMALL($H$5:$H$304,26))="","",INDEX(Inventory!D:D,SMALL($H$5:$H$304,26))),"")</f>
        <v/>
      </c>
      <c r="E30" s="11" t="str">
        <f aca="false">IFERROR(IF(INDEX(Inventory!E:E,SMALL($H$5:$H$304,26))="","",INDEX(Inventory!E:E,SMALL($H$5:$H$304,26))),"")</f>
        <v/>
      </c>
      <c r="F30" s="11" t="str">
        <f aca="false">IFERROR(IF(INDEX(Inventory!F:F,SMALL($H$5:$H$304,26))="","",INDEX(Inventory!F:F,SMALL($H$5:$H$304,26))),"")</f>
        <v/>
      </c>
      <c r="G30" s="11" t="str">
        <f aca="false">IFERROR(IF(INDEX(Inventory!G:G,SMALL($H$5:$H$304,26))="","",INDEX(Inventory!G:G,SMALL($H$5:$H$304,26))),"")</f>
        <v/>
      </c>
      <c r="H30" s="1" t="str">
        <f aca="false">IF(Inventory!A28="","",IF(ISNUMBER(SEARCH($C$2,Inventory!A28)),ROW(Inventory!A28),""))</f>
        <v/>
      </c>
    </row>
    <row r="31" customFormat="false" ht="15" hidden="false" customHeight="false" outlineLevel="0" collapsed="false">
      <c r="A31" s="13" t="str">
        <f aca="false">IFERROR(IF(INDEX(Inventory!A:A,SMALL($H$5:$H$304,27))="","",INDEX(Inventory!A:A,SMALL($H$5:$H$304,27))),"")</f>
        <v/>
      </c>
      <c r="B31" s="13" t="str">
        <f aca="false">IFERROR(IF(INDEX(Inventory!B:B,SMALL($H$5:$H$304,27))="","",INDEX(Inventory!B:B,SMALL($H$5:$H$304,27))),"")</f>
        <v/>
      </c>
      <c r="C31" s="13" t="str">
        <f aca="false">IFERROR(IF(INDEX(Inventory!C:C,SMALL($H$5:$H$304,27))="","",INDEX(Inventory!C:C,SMALL($H$5:$H$304,27))),"")</f>
        <v/>
      </c>
      <c r="D31" s="13" t="str">
        <f aca="false">IFERROR(IF(INDEX(Inventory!D:D,SMALL($H$5:$H$304,27))="","",INDEX(Inventory!D:D,SMALL($H$5:$H$304,27))),"")</f>
        <v/>
      </c>
      <c r="E31" s="13" t="str">
        <f aca="false">IFERROR(IF(INDEX(Inventory!E:E,SMALL($H$5:$H$304,27))="","",INDEX(Inventory!E:E,SMALL($H$5:$H$304,27))),"")</f>
        <v/>
      </c>
      <c r="F31" s="13" t="str">
        <f aca="false">IFERROR(IF(INDEX(Inventory!F:F,SMALL($H$5:$H$304,27))="","",INDEX(Inventory!F:F,SMALL($H$5:$H$304,27))),"")</f>
        <v/>
      </c>
      <c r="G31" s="13" t="str">
        <f aca="false">IFERROR(IF(INDEX(Inventory!G:G,SMALL($H$5:$H$304,27))="","",INDEX(Inventory!G:G,SMALL($H$5:$H$304,27))),"")</f>
        <v/>
      </c>
      <c r="H31" s="1" t="str">
        <f aca="false">IF(Inventory!A29="","",IF(ISNUMBER(SEARCH($C$2,Inventory!A29)),ROW(Inventory!A29),""))</f>
        <v/>
      </c>
    </row>
    <row r="32" customFormat="false" ht="15" hidden="false" customHeight="false" outlineLevel="0" collapsed="false">
      <c r="A32" s="11" t="str">
        <f aca="false">IFERROR(IF(INDEX(Inventory!A:A,SMALL($H$5:$H$304,28))="","",INDEX(Inventory!A:A,SMALL($H$5:$H$304,28))),"")</f>
        <v/>
      </c>
      <c r="B32" s="11" t="str">
        <f aca="false">IFERROR(IF(INDEX(Inventory!B:B,SMALL($H$5:$H$304,28))="","",INDEX(Inventory!B:B,SMALL($H$5:$H$304,28))),"")</f>
        <v/>
      </c>
      <c r="C32" s="11" t="str">
        <f aca="false">IFERROR(IF(INDEX(Inventory!C:C,SMALL($H$5:$H$304,28))="","",INDEX(Inventory!C:C,SMALL($H$5:$H$304,28))),"")</f>
        <v/>
      </c>
      <c r="D32" s="11" t="str">
        <f aca="false">IFERROR(IF(INDEX(Inventory!D:D,SMALL($H$5:$H$304,28))="","",INDEX(Inventory!D:D,SMALL($H$5:$H$304,28))),"")</f>
        <v/>
      </c>
      <c r="E32" s="11" t="str">
        <f aca="false">IFERROR(IF(INDEX(Inventory!E:E,SMALL($H$5:$H$304,28))="","",INDEX(Inventory!E:E,SMALL($H$5:$H$304,28))),"")</f>
        <v/>
      </c>
      <c r="F32" s="11" t="str">
        <f aca="false">IFERROR(IF(INDEX(Inventory!F:F,SMALL($H$5:$H$304,28))="","",INDEX(Inventory!F:F,SMALL($H$5:$H$304,28))),"")</f>
        <v/>
      </c>
      <c r="G32" s="11" t="str">
        <f aca="false">IFERROR(IF(INDEX(Inventory!G:G,SMALL($H$5:$H$304,28))="","",INDEX(Inventory!G:G,SMALL($H$5:$H$304,28))),"")</f>
        <v/>
      </c>
      <c r="H32" s="1" t="str">
        <f aca="false">IF(Inventory!A30="","",IF(ISNUMBER(SEARCH($C$2,Inventory!A30)),ROW(Inventory!A30),""))</f>
        <v/>
      </c>
    </row>
    <row r="33" customFormat="false" ht="15" hidden="false" customHeight="false" outlineLevel="0" collapsed="false">
      <c r="A33" s="13" t="str">
        <f aca="false">IFERROR(IF(INDEX(Inventory!A:A,SMALL($H$5:$H$304,29))="","",INDEX(Inventory!A:A,SMALL($H$5:$H$304,29))),"")</f>
        <v/>
      </c>
      <c r="B33" s="13" t="str">
        <f aca="false">IFERROR(IF(INDEX(Inventory!B:B,SMALL($H$5:$H$304,29))="","",INDEX(Inventory!B:B,SMALL($H$5:$H$304,29))),"")</f>
        <v/>
      </c>
      <c r="C33" s="13" t="str">
        <f aca="false">IFERROR(IF(INDEX(Inventory!C:C,SMALL($H$5:$H$304,29))="","",INDEX(Inventory!C:C,SMALL($H$5:$H$304,29))),"")</f>
        <v/>
      </c>
      <c r="D33" s="13" t="str">
        <f aca="false">IFERROR(IF(INDEX(Inventory!D:D,SMALL($H$5:$H$304,29))="","",INDEX(Inventory!D:D,SMALL($H$5:$H$304,29))),"")</f>
        <v/>
      </c>
      <c r="E33" s="13" t="str">
        <f aca="false">IFERROR(IF(INDEX(Inventory!E:E,SMALL($H$5:$H$304,29))="","",INDEX(Inventory!E:E,SMALL($H$5:$H$304,29))),"")</f>
        <v/>
      </c>
      <c r="F33" s="13" t="str">
        <f aca="false">IFERROR(IF(INDEX(Inventory!F:F,SMALL($H$5:$H$304,29))="","",INDEX(Inventory!F:F,SMALL($H$5:$H$304,29))),"")</f>
        <v/>
      </c>
      <c r="G33" s="13" t="str">
        <f aca="false">IFERROR(IF(INDEX(Inventory!G:G,SMALL($H$5:$H$304,29))="","",INDEX(Inventory!G:G,SMALL($H$5:$H$304,29))),"")</f>
        <v/>
      </c>
      <c r="H33" s="1" t="str">
        <f aca="false">IF(Inventory!A31="","",IF(ISNUMBER(SEARCH($C$2,Inventory!A31)),ROW(Inventory!A31),""))</f>
        <v/>
      </c>
    </row>
    <row r="34" customFormat="false" ht="15" hidden="false" customHeight="false" outlineLevel="0" collapsed="false">
      <c r="A34" s="11" t="str">
        <f aca="false">IFERROR(IF(INDEX(Inventory!A:A,SMALL($H$5:$H$304,30))="","",INDEX(Inventory!A:A,SMALL($H$5:$H$304,30))),"")</f>
        <v/>
      </c>
      <c r="B34" s="11" t="str">
        <f aca="false">IFERROR(IF(INDEX(Inventory!B:B,SMALL($H$5:$H$304,30))="","",INDEX(Inventory!B:B,SMALL($H$5:$H$304,30))),"")</f>
        <v/>
      </c>
      <c r="C34" s="11" t="str">
        <f aca="false">IFERROR(IF(INDEX(Inventory!C:C,SMALL($H$5:$H$304,30))="","",INDEX(Inventory!C:C,SMALL($H$5:$H$304,30))),"")</f>
        <v/>
      </c>
      <c r="D34" s="11" t="str">
        <f aca="false">IFERROR(IF(INDEX(Inventory!D:D,SMALL($H$5:$H$304,30))="","",INDEX(Inventory!D:D,SMALL($H$5:$H$304,30))),"")</f>
        <v/>
      </c>
      <c r="E34" s="11" t="str">
        <f aca="false">IFERROR(IF(INDEX(Inventory!E:E,SMALL($H$5:$H$304,30))="","",INDEX(Inventory!E:E,SMALL($H$5:$H$304,30))),"")</f>
        <v/>
      </c>
      <c r="F34" s="11" t="str">
        <f aca="false">IFERROR(IF(INDEX(Inventory!F:F,SMALL($H$5:$H$304,30))="","",INDEX(Inventory!F:F,SMALL($H$5:$H$304,30))),"")</f>
        <v/>
      </c>
      <c r="G34" s="11" t="str">
        <f aca="false">IFERROR(IF(INDEX(Inventory!G:G,SMALL($H$5:$H$304,30))="","",INDEX(Inventory!G:G,SMALL($H$5:$H$304,30))),"")</f>
        <v/>
      </c>
      <c r="H34" s="1" t="str">
        <f aca="false">IF(Inventory!A32="","",IF(ISNUMBER(SEARCH($C$2,Inventory!A32)),ROW(Inventory!A32),""))</f>
        <v/>
      </c>
    </row>
    <row r="35" customFormat="false" ht="15" hidden="false" customHeight="false" outlineLevel="0" collapsed="false">
      <c r="A35" s="13" t="str">
        <f aca="false">IFERROR(IF(INDEX(Inventory!A:A,SMALL($H$5:$H$304,31))="","",INDEX(Inventory!A:A,SMALL($H$5:$H$304,31))),"")</f>
        <v/>
      </c>
      <c r="B35" s="13" t="str">
        <f aca="false">IFERROR(IF(INDEX(Inventory!B:B,SMALL($H$5:$H$304,31))="","",INDEX(Inventory!B:B,SMALL($H$5:$H$304,31))),"")</f>
        <v/>
      </c>
      <c r="C35" s="13" t="str">
        <f aca="false">IFERROR(IF(INDEX(Inventory!C:C,SMALL($H$5:$H$304,31))="","",INDEX(Inventory!C:C,SMALL($H$5:$H$304,31))),"")</f>
        <v/>
      </c>
      <c r="D35" s="13" t="str">
        <f aca="false">IFERROR(IF(INDEX(Inventory!D:D,SMALL($H$5:$H$304,31))="","",INDEX(Inventory!D:D,SMALL($H$5:$H$304,31))),"")</f>
        <v/>
      </c>
      <c r="E35" s="13" t="str">
        <f aca="false">IFERROR(IF(INDEX(Inventory!E:E,SMALL($H$5:$H$304,31))="","",INDEX(Inventory!E:E,SMALL($H$5:$H$304,31))),"")</f>
        <v/>
      </c>
      <c r="F35" s="13" t="str">
        <f aca="false">IFERROR(IF(INDEX(Inventory!F:F,SMALL($H$5:$H$304,31))="","",INDEX(Inventory!F:F,SMALL($H$5:$H$304,31))),"")</f>
        <v/>
      </c>
      <c r="G35" s="13" t="str">
        <f aca="false">IFERROR(IF(INDEX(Inventory!G:G,SMALL($H$5:$H$304,31))="","",INDEX(Inventory!G:G,SMALL($H$5:$H$304,31))),"")</f>
        <v/>
      </c>
      <c r="H35" s="1" t="str">
        <f aca="false">IF(Inventory!A33="","",IF(ISNUMBER(SEARCH($C$2,Inventory!A33)),ROW(Inventory!A33),""))</f>
        <v/>
      </c>
    </row>
    <row r="36" customFormat="false" ht="15" hidden="false" customHeight="false" outlineLevel="0" collapsed="false">
      <c r="A36" s="11" t="str">
        <f aca="false">IFERROR(IF(INDEX(Inventory!A:A,SMALL($H$5:$H$304,32))="","",INDEX(Inventory!A:A,SMALL($H$5:$H$304,32))),"")</f>
        <v/>
      </c>
      <c r="B36" s="11" t="str">
        <f aca="false">IFERROR(IF(INDEX(Inventory!B:B,SMALL($H$5:$H$304,32))="","",INDEX(Inventory!B:B,SMALL($H$5:$H$304,32))),"")</f>
        <v/>
      </c>
      <c r="C36" s="11" t="str">
        <f aca="false">IFERROR(IF(INDEX(Inventory!C:C,SMALL($H$5:$H$304,32))="","",INDEX(Inventory!C:C,SMALL($H$5:$H$304,32))),"")</f>
        <v/>
      </c>
      <c r="D36" s="11" t="str">
        <f aca="false">IFERROR(IF(INDEX(Inventory!D:D,SMALL($H$5:$H$304,32))="","",INDEX(Inventory!D:D,SMALL($H$5:$H$304,32))),"")</f>
        <v/>
      </c>
      <c r="E36" s="11" t="str">
        <f aca="false">IFERROR(IF(INDEX(Inventory!E:E,SMALL($H$5:$H$304,32))="","",INDEX(Inventory!E:E,SMALL($H$5:$H$304,32))),"")</f>
        <v/>
      </c>
      <c r="F36" s="11" t="str">
        <f aca="false">IFERROR(IF(INDEX(Inventory!F:F,SMALL($H$5:$H$304,32))="","",INDEX(Inventory!F:F,SMALL($H$5:$H$304,32))),"")</f>
        <v/>
      </c>
      <c r="G36" s="11" t="str">
        <f aca="false">IFERROR(IF(INDEX(Inventory!G:G,SMALL($H$5:$H$304,32))="","",INDEX(Inventory!G:G,SMALL($H$5:$H$304,32))),"")</f>
        <v/>
      </c>
      <c r="H36" s="1" t="str">
        <f aca="false">IF(Inventory!A34="","",IF(ISNUMBER(SEARCH($C$2,Inventory!A34)),ROW(Inventory!A34),""))</f>
        <v/>
      </c>
    </row>
    <row r="37" customFormat="false" ht="15" hidden="false" customHeight="false" outlineLevel="0" collapsed="false">
      <c r="A37" s="13" t="str">
        <f aca="false">IFERROR(IF(INDEX(Inventory!A:A,SMALL($H$5:$H$304,33))="","",INDEX(Inventory!A:A,SMALL($H$5:$H$304,33))),"")</f>
        <v/>
      </c>
      <c r="B37" s="13" t="str">
        <f aca="false">IFERROR(IF(INDEX(Inventory!B:B,SMALL($H$5:$H$304,33))="","",INDEX(Inventory!B:B,SMALL($H$5:$H$304,33))),"")</f>
        <v/>
      </c>
      <c r="C37" s="13" t="str">
        <f aca="false">IFERROR(IF(INDEX(Inventory!C:C,SMALL($H$5:$H$304,33))="","",INDEX(Inventory!C:C,SMALL($H$5:$H$304,33))),"")</f>
        <v/>
      </c>
      <c r="D37" s="13" t="str">
        <f aca="false">IFERROR(IF(INDEX(Inventory!D:D,SMALL($H$5:$H$304,33))="","",INDEX(Inventory!D:D,SMALL($H$5:$H$304,33))),"")</f>
        <v/>
      </c>
      <c r="E37" s="13" t="str">
        <f aca="false">IFERROR(IF(INDEX(Inventory!E:E,SMALL($H$5:$H$304,33))="","",INDEX(Inventory!E:E,SMALL($H$5:$H$304,33))),"")</f>
        <v/>
      </c>
      <c r="F37" s="13" t="str">
        <f aca="false">IFERROR(IF(INDEX(Inventory!F:F,SMALL($H$5:$H$304,33))="","",INDEX(Inventory!F:F,SMALL($H$5:$H$304,33))),"")</f>
        <v/>
      </c>
      <c r="G37" s="13" t="str">
        <f aca="false">IFERROR(IF(INDEX(Inventory!G:G,SMALL($H$5:$H$304,33))="","",INDEX(Inventory!G:G,SMALL($H$5:$H$304,33))),"")</f>
        <v/>
      </c>
      <c r="H37" s="1" t="str">
        <f aca="false">IF(Inventory!A35="","",IF(ISNUMBER(SEARCH($C$2,Inventory!A35)),ROW(Inventory!A35),""))</f>
        <v/>
      </c>
    </row>
    <row r="38" customFormat="false" ht="15" hidden="false" customHeight="false" outlineLevel="0" collapsed="false">
      <c r="A38" s="11" t="str">
        <f aca="false">IFERROR(IF(INDEX(Inventory!A:A,SMALL($H$5:$H$304,34))="","",INDEX(Inventory!A:A,SMALL($H$5:$H$304,34))),"")</f>
        <v/>
      </c>
      <c r="B38" s="11" t="str">
        <f aca="false">IFERROR(IF(INDEX(Inventory!B:B,SMALL($H$5:$H$304,34))="","",INDEX(Inventory!B:B,SMALL($H$5:$H$304,34))),"")</f>
        <v/>
      </c>
      <c r="C38" s="11" t="str">
        <f aca="false">IFERROR(IF(INDEX(Inventory!C:C,SMALL($H$5:$H$304,34))="","",INDEX(Inventory!C:C,SMALL($H$5:$H$304,34))),"")</f>
        <v/>
      </c>
      <c r="D38" s="11" t="str">
        <f aca="false">IFERROR(IF(INDEX(Inventory!D:D,SMALL($H$5:$H$304,34))="","",INDEX(Inventory!D:D,SMALL($H$5:$H$304,34))),"")</f>
        <v/>
      </c>
      <c r="E38" s="11" t="str">
        <f aca="false">IFERROR(IF(INDEX(Inventory!E:E,SMALL($H$5:$H$304,34))="","",INDEX(Inventory!E:E,SMALL($H$5:$H$304,34))),"")</f>
        <v/>
      </c>
      <c r="F38" s="11" t="str">
        <f aca="false">IFERROR(IF(INDEX(Inventory!F:F,SMALL($H$5:$H$304,34))="","",INDEX(Inventory!F:F,SMALL($H$5:$H$304,34))),"")</f>
        <v/>
      </c>
      <c r="G38" s="11" t="str">
        <f aca="false">IFERROR(IF(INDEX(Inventory!G:G,SMALL($H$5:$H$304,34))="","",INDEX(Inventory!G:G,SMALL($H$5:$H$304,34))),"")</f>
        <v/>
      </c>
      <c r="H38" s="1" t="str">
        <f aca="false">IF(Inventory!A36="","",IF(ISNUMBER(SEARCH($C$2,Inventory!A36)),ROW(Inventory!A36),""))</f>
        <v/>
      </c>
    </row>
    <row r="39" customFormat="false" ht="15" hidden="false" customHeight="false" outlineLevel="0" collapsed="false">
      <c r="A39" s="13" t="str">
        <f aca="false">IFERROR(IF(INDEX(Inventory!A:A,SMALL($H$5:$H$304,35))="","",INDEX(Inventory!A:A,SMALL($H$5:$H$304,35))),"")</f>
        <v/>
      </c>
      <c r="B39" s="13" t="str">
        <f aca="false">IFERROR(IF(INDEX(Inventory!B:B,SMALL($H$5:$H$304,35))="","",INDEX(Inventory!B:B,SMALL($H$5:$H$304,35))),"")</f>
        <v/>
      </c>
      <c r="C39" s="13" t="str">
        <f aca="false">IFERROR(IF(INDEX(Inventory!C:C,SMALL($H$5:$H$304,35))="","",INDEX(Inventory!C:C,SMALL($H$5:$H$304,35))),"")</f>
        <v/>
      </c>
      <c r="D39" s="13" t="str">
        <f aca="false">IFERROR(IF(INDEX(Inventory!D:D,SMALL($H$5:$H$304,35))="","",INDEX(Inventory!D:D,SMALL($H$5:$H$304,35))),"")</f>
        <v/>
      </c>
      <c r="E39" s="13" t="str">
        <f aca="false">IFERROR(IF(INDEX(Inventory!E:E,SMALL($H$5:$H$304,35))="","",INDEX(Inventory!E:E,SMALL($H$5:$H$304,35))),"")</f>
        <v/>
      </c>
      <c r="F39" s="13" t="str">
        <f aca="false">IFERROR(IF(INDEX(Inventory!F:F,SMALL($H$5:$H$304,35))="","",INDEX(Inventory!F:F,SMALL($H$5:$H$304,35))),"")</f>
        <v/>
      </c>
      <c r="G39" s="13" t="str">
        <f aca="false">IFERROR(IF(INDEX(Inventory!G:G,SMALL($H$5:$H$304,35))="","",INDEX(Inventory!G:G,SMALL($H$5:$H$304,35))),"")</f>
        <v/>
      </c>
      <c r="H39" s="1" t="str">
        <f aca="false">IF(Inventory!A37="","",IF(ISNUMBER(SEARCH($C$2,Inventory!A37)),ROW(Inventory!A37),""))</f>
        <v/>
      </c>
    </row>
    <row r="40" customFormat="false" ht="15" hidden="false" customHeight="false" outlineLevel="0" collapsed="false">
      <c r="A40" s="11" t="str">
        <f aca="false">IFERROR(IF(INDEX(Inventory!A:A,SMALL($H$5:$H$304,36))="","",INDEX(Inventory!A:A,SMALL($H$5:$H$304,36))),"")</f>
        <v/>
      </c>
      <c r="B40" s="11" t="str">
        <f aca="false">IFERROR(IF(INDEX(Inventory!B:B,SMALL($H$5:$H$304,36))="","",INDEX(Inventory!B:B,SMALL($H$5:$H$304,36))),"")</f>
        <v/>
      </c>
      <c r="C40" s="11" t="str">
        <f aca="false">IFERROR(IF(INDEX(Inventory!C:C,SMALL($H$5:$H$304,36))="","",INDEX(Inventory!C:C,SMALL($H$5:$H$304,36))),"")</f>
        <v/>
      </c>
      <c r="D40" s="11" t="str">
        <f aca="false">IFERROR(IF(INDEX(Inventory!D:D,SMALL($H$5:$H$304,36))="","",INDEX(Inventory!D:D,SMALL($H$5:$H$304,36))),"")</f>
        <v/>
      </c>
      <c r="E40" s="11" t="str">
        <f aca="false">IFERROR(IF(INDEX(Inventory!E:E,SMALL($H$5:$H$304,36))="","",INDEX(Inventory!E:E,SMALL($H$5:$H$304,36))),"")</f>
        <v/>
      </c>
      <c r="F40" s="11" t="str">
        <f aca="false">IFERROR(IF(INDEX(Inventory!F:F,SMALL($H$5:$H$304,36))="","",INDEX(Inventory!F:F,SMALL($H$5:$H$304,36))),"")</f>
        <v/>
      </c>
      <c r="G40" s="11" t="str">
        <f aca="false">IFERROR(IF(INDEX(Inventory!G:G,SMALL($H$5:$H$304,36))="","",INDEX(Inventory!G:G,SMALL($H$5:$H$304,36))),"")</f>
        <v/>
      </c>
      <c r="H40" s="1" t="str">
        <f aca="false">IF(Inventory!A38="","",IF(ISNUMBER(SEARCH($C$2,Inventory!A38)),ROW(Inventory!A38),""))</f>
        <v/>
      </c>
    </row>
    <row r="41" customFormat="false" ht="15" hidden="false" customHeight="false" outlineLevel="0" collapsed="false">
      <c r="A41" s="13" t="str">
        <f aca="false">IFERROR(IF(INDEX(Inventory!A:A,SMALL($H$5:$H$304,37))="","",INDEX(Inventory!A:A,SMALL($H$5:$H$304,37))),"")</f>
        <v/>
      </c>
      <c r="B41" s="13" t="str">
        <f aca="false">IFERROR(IF(INDEX(Inventory!B:B,SMALL($H$5:$H$304,37))="","",INDEX(Inventory!B:B,SMALL($H$5:$H$304,37))),"")</f>
        <v/>
      </c>
      <c r="C41" s="13" t="str">
        <f aca="false">IFERROR(IF(INDEX(Inventory!C:C,SMALL($H$5:$H$304,37))="","",INDEX(Inventory!C:C,SMALL($H$5:$H$304,37))),"")</f>
        <v/>
      </c>
      <c r="D41" s="13" t="str">
        <f aca="false">IFERROR(IF(INDEX(Inventory!D:D,SMALL($H$5:$H$304,37))="","",INDEX(Inventory!D:D,SMALL($H$5:$H$304,37))),"")</f>
        <v/>
      </c>
      <c r="E41" s="13" t="str">
        <f aca="false">IFERROR(IF(INDEX(Inventory!E:E,SMALL($H$5:$H$304,37))="","",INDEX(Inventory!E:E,SMALL($H$5:$H$304,37))),"")</f>
        <v/>
      </c>
      <c r="F41" s="13" t="str">
        <f aca="false">IFERROR(IF(INDEX(Inventory!F:F,SMALL($H$5:$H$304,37))="","",INDEX(Inventory!F:F,SMALL($H$5:$H$304,37))),"")</f>
        <v/>
      </c>
      <c r="G41" s="13" t="str">
        <f aca="false">IFERROR(IF(INDEX(Inventory!G:G,SMALL($H$5:$H$304,37))="","",INDEX(Inventory!G:G,SMALL($H$5:$H$304,37))),"")</f>
        <v/>
      </c>
      <c r="H41" s="1" t="str">
        <f aca="false">IF(Inventory!A39="","",IF(ISNUMBER(SEARCH($C$2,Inventory!A39)),ROW(Inventory!A39),""))</f>
        <v/>
      </c>
    </row>
    <row r="42" customFormat="false" ht="15" hidden="false" customHeight="false" outlineLevel="0" collapsed="false">
      <c r="A42" s="11" t="str">
        <f aca="false">IFERROR(IF(INDEX(Inventory!A:A,SMALL($H$5:$H$304,38))="","",INDEX(Inventory!A:A,SMALL($H$5:$H$304,38))),"")</f>
        <v/>
      </c>
      <c r="B42" s="11" t="str">
        <f aca="false">IFERROR(IF(INDEX(Inventory!B:B,SMALL($H$5:$H$304,38))="","",INDEX(Inventory!B:B,SMALL($H$5:$H$304,38))),"")</f>
        <v/>
      </c>
      <c r="C42" s="11" t="str">
        <f aca="false">IFERROR(IF(INDEX(Inventory!C:C,SMALL($H$5:$H$304,38))="","",INDEX(Inventory!C:C,SMALL($H$5:$H$304,38))),"")</f>
        <v/>
      </c>
      <c r="D42" s="11" t="str">
        <f aca="false">IFERROR(IF(INDEX(Inventory!D:D,SMALL($H$5:$H$304,38))="","",INDEX(Inventory!D:D,SMALL($H$5:$H$304,38))),"")</f>
        <v/>
      </c>
      <c r="E42" s="11" t="str">
        <f aca="false">IFERROR(IF(INDEX(Inventory!E:E,SMALL($H$5:$H$304,38))="","",INDEX(Inventory!E:E,SMALL($H$5:$H$304,38))),"")</f>
        <v/>
      </c>
      <c r="F42" s="11" t="str">
        <f aca="false">IFERROR(IF(INDEX(Inventory!F:F,SMALL($H$5:$H$304,38))="","",INDEX(Inventory!F:F,SMALL($H$5:$H$304,38))),"")</f>
        <v/>
      </c>
      <c r="G42" s="11" t="str">
        <f aca="false">IFERROR(IF(INDEX(Inventory!G:G,SMALL($H$5:$H$304,38))="","",INDEX(Inventory!G:G,SMALL($H$5:$H$304,38))),"")</f>
        <v/>
      </c>
      <c r="H42" s="1" t="str">
        <f aca="false">IF(Inventory!A40="","",IF(ISNUMBER(SEARCH($C$2,Inventory!A40)),ROW(Inventory!A40),""))</f>
        <v/>
      </c>
    </row>
    <row r="43" customFormat="false" ht="15" hidden="false" customHeight="false" outlineLevel="0" collapsed="false">
      <c r="A43" s="13" t="str">
        <f aca="false">IFERROR(IF(INDEX(Inventory!A:A,SMALL($H$5:$H$304,39))="","",INDEX(Inventory!A:A,SMALL($H$5:$H$304,39))),"")</f>
        <v/>
      </c>
      <c r="B43" s="13" t="str">
        <f aca="false">IFERROR(IF(INDEX(Inventory!B:B,SMALL($H$5:$H$304,39))="","",INDEX(Inventory!B:B,SMALL($H$5:$H$304,39))),"")</f>
        <v/>
      </c>
      <c r="C43" s="13" t="str">
        <f aca="false">IFERROR(IF(INDEX(Inventory!C:C,SMALL($H$5:$H$304,39))="","",INDEX(Inventory!C:C,SMALL($H$5:$H$304,39))),"")</f>
        <v/>
      </c>
      <c r="D43" s="13" t="str">
        <f aca="false">IFERROR(IF(INDEX(Inventory!D:D,SMALL($H$5:$H$304,39))="","",INDEX(Inventory!D:D,SMALL($H$5:$H$304,39))),"")</f>
        <v/>
      </c>
      <c r="E43" s="13" t="str">
        <f aca="false">IFERROR(IF(INDEX(Inventory!E:E,SMALL($H$5:$H$304,39))="","",INDEX(Inventory!E:E,SMALL($H$5:$H$304,39))),"")</f>
        <v/>
      </c>
      <c r="F43" s="13" t="str">
        <f aca="false">IFERROR(IF(INDEX(Inventory!F:F,SMALL($H$5:$H$304,39))="","",INDEX(Inventory!F:F,SMALL($H$5:$H$304,39))),"")</f>
        <v/>
      </c>
      <c r="G43" s="13" t="str">
        <f aca="false">IFERROR(IF(INDEX(Inventory!G:G,SMALL($H$5:$H$304,39))="","",INDEX(Inventory!G:G,SMALL($H$5:$H$304,39))),"")</f>
        <v/>
      </c>
      <c r="H43" s="1" t="str">
        <f aca="false">IF(Inventory!A41="","",IF(ISNUMBER(SEARCH($C$2,Inventory!A41)),ROW(Inventory!A41),""))</f>
        <v/>
      </c>
    </row>
    <row r="44" customFormat="false" ht="15" hidden="false" customHeight="false" outlineLevel="0" collapsed="false">
      <c r="A44" s="11" t="str">
        <f aca="false">IFERROR(IF(INDEX(Inventory!A:A,SMALL($H$5:$H$304,40))="","",INDEX(Inventory!A:A,SMALL($H$5:$H$304,40))),"")</f>
        <v/>
      </c>
      <c r="B44" s="11" t="str">
        <f aca="false">IFERROR(IF(INDEX(Inventory!B:B,SMALL($H$5:$H$304,40))="","",INDEX(Inventory!B:B,SMALL($H$5:$H$304,40))),"")</f>
        <v/>
      </c>
      <c r="C44" s="11" t="str">
        <f aca="false">IFERROR(IF(INDEX(Inventory!C:C,SMALL($H$5:$H$304,40))="","",INDEX(Inventory!C:C,SMALL($H$5:$H$304,40))),"")</f>
        <v/>
      </c>
      <c r="D44" s="11" t="str">
        <f aca="false">IFERROR(IF(INDEX(Inventory!D:D,SMALL($H$5:$H$304,40))="","",INDEX(Inventory!D:D,SMALL($H$5:$H$304,40))),"")</f>
        <v/>
      </c>
      <c r="E44" s="11" t="str">
        <f aca="false">IFERROR(IF(INDEX(Inventory!E:E,SMALL($H$5:$H$304,40))="","",INDEX(Inventory!E:E,SMALL($H$5:$H$304,40))),"")</f>
        <v/>
      </c>
      <c r="F44" s="11" t="str">
        <f aca="false">IFERROR(IF(INDEX(Inventory!F:F,SMALL($H$5:$H$304,40))="","",INDEX(Inventory!F:F,SMALL($H$5:$H$304,40))),"")</f>
        <v/>
      </c>
      <c r="G44" s="11" t="str">
        <f aca="false">IFERROR(IF(INDEX(Inventory!G:G,SMALL($H$5:$H$304,40))="","",INDEX(Inventory!G:G,SMALL($H$5:$H$304,40))),"")</f>
        <v/>
      </c>
      <c r="H44" s="1" t="str">
        <f aca="false">IF(Inventory!A42="","",IF(ISNUMBER(SEARCH($C$2,Inventory!A42)),ROW(Inventory!A42),""))</f>
        <v/>
      </c>
    </row>
    <row r="45" customFormat="false" ht="15" hidden="false" customHeight="false" outlineLevel="0" collapsed="false">
      <c r="A45" s="13" t="str">
        <f aca="false">IFERROR(IF(INDEX(Inventory!A:A,SMALL($H$5:$H$304,41))="","",INDEX(Inventory!A:A,SMALL($H$5:$H$304,41))),"")</f>
        <v/>
      </c>
      <c r="B45" s="13" t="str">
        <f aca="false">IFERROR(IF(INDEX(Inventory!B:B,SMALL($H$5:$H$304,41))="","",INDEX(Inventory!B:B,SMALL($H$5:$H$304,41))),"")</f>
        <v/>
      </c>
      <c r="C45" s="13" t="str">
        <f aca="false">IFERROR(IF(INDEX(Inventory!C:C,SMALL($H$5:$H$304,41))="","",INDEX(Inventory!C:C,SMALL($H$5:$H$304,41))),"")</f>
        <v/>
      </c>
      <c r="D45" s="13" t="str">
        <f aca="false">IFERROR(IF(INDEX(Inventory!D:D,SMALL($H$5:$H$304,41))="","",INDEX(Inventory!D:D,SMALL($H$5:$H$304,41))),"")</f>
        <v/>
      </c>
      <c r="E45" s="13" t="str">
        <f aca="false">IFERROR(IF(INDEX(Inventory!E:E,SMALL($H$5:$H$304,41))="","",INDEX(Inventory!E:E,SMALL($H$5:$H$304,41))),"")</f>
        <v/>
      </c>
      <c r="F45" s="13" t="str">
        <f aca="false">IFERROR(IF(INDEX(Inventory!F:F,SMALL($H$5:$H$304,41))="","",INDEX(Inventory!F:F,SMALL($H$5:$H$304,41))),"")</f>
        <v/>
      </c>
      <c r="G45" s="13" t="str">
        <f aca="false">IFERROR(IF(INDEX(Inventory!G:G,SMALL($H$5:$H$304,41))="","",INDEX(Inventory!G:G,SMALL($H$5:$H$304,41))),"")</f>
        <v/>
      </c>
      <c r="H45" s="1" t="str">
        <f aca="false">IF(Inventory!A43="","",IF(ISNUMBER(SEARCH($C$2,Inventory!A43)),ROW(Inventory!A43),""))</f>
        <v/>
      </c>
    </row>
    <row r="46" customFormat="false" ht="15" hidden="false" customHeight="false" outlineLevel="0" collapsed="false">
      <c r="A46" s="11" t="str">
        <f aca="false">IFERROR(IF(INDEX(Inventory!A:A,SMALL($H$5:$H$304,42))="","",INDEX(Inventory!A:A,SMALL($H$5:$H$304,42))),"")</f>
        <v/>
      </c>
      <c r="B46" s="11" t="str">
        <f aca="false">IFERROR(IF(INDEX(Inventory!B:B,SMALL($H$5:$H$304,42))="","",INDEX(Inventory!B:B,SMALL($H$5:$H$304,42))),"")</f>
        <v/>
      </c>
      <c r="C46" s="11" t="str">
        <f aca="false">IFERROR(IF(INDEX(Inventory!C:C,SMALL($H$5:$H$304,42))="","",INDEX(Inventory!C:C,SMALL($H$5:$H$304,42))),"")</f>
        <v/>
      </c>
      <c r="D46" s="11" t="str">
        <f aca="false">IFERROR(IF(INDEX(Inventory!D:D,SMALL($H$5:$H$304,42))="","",INDEX(Inventory!D:D,SMALL($H$5:$H$304,42))),"")</f>
        <v/>
      </c>
      <c r="E46" s="11" t="str">
        <f aca="false">IFERROR(IF(INDEX(Inventory!E:E,SMALL($H$5:$H$304,42))="","",INDEX(Inventory!E:E,SMALL($H$5:$H$304,42))),"")</f>
        <v/>
      </c>
      <c r="F46" s="11" t="str">
        <f aca="false">IFERROR(IF(INDEX(Inventory!F:F,SMALL($H$5:$H$304,42))="","",INDEX(Inventory!F:F,SMALL($H$5:$H$304,42))),"")</f>
        <v/>
      </c>
      <c r="G46" s="11" t="str">
        <f aca="false">IFERROR(IF(INDEX(Inventory!G:G,SMALL($H$5:$H$304,42))="","",INDEX(Inventory!G:G,SMALL($H$5:$H$304,42))),"")</f>
        <v/>
      </c>
      <c r="H46" s="1" t="str">
        <f aca="false">IF(Inventory!A44="","",IF(ISNUMBER(SEARCH($C$2,Inventory!A44)),ROW(Inventory!A44),""))</f>
        <v/>
      </c>
    </row>
    <row r="47" customFormat="false" ht="15" hidden="false" customHeight="false" outlineLevel="0" collapsed="false">
      <c r="A47" s="13" t="str">
        <f aca="false">IFERROR(IF(INDEX(Inventory!A:A,SMALL($H$5:$H$304,43))="","",INDEX(Inventory!A:A,SMALL($H$5:$H$304,43))),"")</f>
        <v/>
      </c>
      <c r="B47" s="13" t="str">
        <f aca="false">IFERROR(IF(INDEX(Inventory!B:B,SMALL($H$5:$H$304,43))="","",INDEX(Inventory!B:B,SMALL($H$5:$H$304,43))),"")</f>
        <v/>
      </c>
      <c r="C47" s="13" t="str">
        <f aca="false">IFERROR(IF(INDEX(Inventory!C:C,SMALL($H$5:$H$304,43))="","",INDEX(Inventory!C:C,SMALL($H$5:$H$304,43))),"")</f>
        <v/>
      </c>
      <c r="D47" s="13" t="str">
        <f aca="false">IFERROR(IF(INDEX(Inventory!D:D,SMALL($H$5:$H$304,43))="","",INDEX(Inventory!D:D,SMALL($H$5:$H$304,43))),"")</f>
        <v/>
      </c>
      <c r="E47" s="13" t="str">
        <f aca="false">IFERROR(IF(INDEX(Inventory!E:E,SMALL($H$5:$H$304,43))="","",INDEX(Inventory!E:E,SMALL($H$5:$H$304,43))),"")</f>
        <v/>
      </c>
      <c r="F47" s="13" t="str">
        <f aca="false">IFERROR(IF(INDEX(Inventory!F:F,SMALL($H$5:$H$304,43))="","",INDEX(Inventory!F:F,SMALL($H$5:$H$304,43))),"")</f>
        <v/>
      </c>
      <c r="G47" s="13" t="str">
        <f aca="false">IFERROR(IF(INDEX(Inventory!G:G,SMALL($H$5:$H$304,43))="","",INDEX(Inventory!G:G,SMALL($H$5:$H$304,43))),"")</f>
        <v/>
      </c>
      <c r="H47" s="1" t="str">
        <f aca="false">IF(Inventory!A45="","",IF(ISNUMBER(SEARCH($C$2,Inventory!A45)),ROW(Inventory!A45),""))</f>
        <v/>
      </c>
    </row>
    <row r="48" customFormat="false" ht="15" hidden="false" customHeight="false" outlineLevel="0" collapsed="false">
      <c r="A48" s="11" t="str">
        <f aca="false">IFERROR(IF(INDEX(Inventory!A:A,SMALL($H$5:$H$304,44))="","",INDEX(Inventory!A:A,SMALL($H$5:$H$304,44))),"")</f>
        <v/>
      </c>
      <c r="B48" s="11" t="str">
        <f aca="false">IFERROR(IF(INDEX(Inventory!B:B,SMALL($H$5:$H$304,44))="","",INDEX(Inventory!B:B,SMALL($H$5:$H$304,44))),"")</f>
        <v/>
      </c>
      <c r="C48" s="11" t="str">
        <f aca="false">IFERROR(IF(INDEX(Inventory!C:C,SMALL($H$5:$H$304,44))="","",INDEX(Inventory!C:C,SMALL($H$5:$H$304,44))),"")</f>
        <v/>
      </c>
      <c r="D48" s="11" t="str">
        <f aca="false">IFERROR(IF(INDEX(Inventory!D:D,SMALL($H$5:$H$304,44))="","",INDEX(Inventory!D:D,SMALL($H$5:$H$304,44))),"")</f>
        <v/>
      </c>
      <c r="E48" s="11" t="str">
        <f aca="false">IFERROR(IF(INDEX(Inventory!E:E,SMALL($H$5:$H$304,44))="","",INDEX(Inventory!E:E,SMALL($H$5:$H$304,44))),"")</f>
        <v/>
      </c>
      <c r="F48" s="11" t="str">
        <f aca="false">IFERROR(IF(INDEX(Inventory!F:F,SMALL($H$5:$H$304,44))="","",INDEX(Inventory!F:F,SMALL($H$5:$H$304,44))),"")</f>
        <v/>
      </c>
      <c r="G48" s="11" t="str">
        <f aca="false">IFERROR(IF(INDEX(Inventory!G:G,SMALL($H$5:$H$304,44))="","",INDEX(Inventory!G:G,SMALL($H$5:$H$304,44))),"")</f>
        <v/>
      </c>
      <c r="H48" s="1" t="str">
        <f aca="false">IF(Inventory!A46="","",IF(ISNUMBER(SEARCH($C$2,Inventory!A46)),ROW(Inventory!A46),""))</f>
        <v/>
      </c>
    </row>
    <row r="49" customFormat="false" ht="15" hidden="false" customHeight="false" outlineLevel="0" collapsed="false">
      <c r="A49" s="13" t="str">
        <f aca="false">IFERROR(IF(INDEX(Inventory!A:A,SMALL($H$5:$H$304,45))="","",INDEX(Inventory!A:A,SMALL($H$5:$H$304,45))),"")</f>
        <v/>
      </c>
      <c r="B49" s="13" t="str">
        <f aca="false">IFERROR(IF(INDEX(Inventory!B:B,SMALL($H$5:$H$304,45))="","",INDEX(Inventory!B:B,SMALL($H$5:$H$304,45))),"")</f>
        <v/>
      </c>
      <c r="C49" s="13" t="str">
        <f aca="false">IFERROR(IF(INDEX(Inventory!C:C,SMALL($H$5:$H$304,45))="","",INDEX(Inventory!C:C,SMALL($H$5:$H$304,45))),"")</f>
        <v/>
      </c>
      <c r="D49" s="13" t="str">
        <f aca="false">IFERROR(IF(INDEX(Inventory!D:D,SMALL($H$5:$H$304,45))="","",INDEX(Inventory!D:D,SMALL($H$5:$H$304,45))),"")</f>
        <v/>
      </c>
      <c r="E49" s="13" t="str">
        <f aca="false">IFERROR(IF(INDEX(Inventory!E:E,SMALL($H$5:$H$304,45))="","",INDEX(Inventory!E:E,SMALL($H$5:$H$304,45))),"")</f>
        <v/>
      </c>
      <c r="F49" s="13" t="str">
        <f aca="false">IFERROR(IF(INDEX(Inventory!F:F,SMALL($H$5:$H$304,45))="","",INDEX(Inventory!F:F,SMALL($H$5:$H$304,45))),"")</f>
        <v/>
      </c>
      <c r="G49" s="13" t="str">
        <f aca="false">IFERROR(IF(INDEX(Inventory!G:G,SMALL($H$5:$H$304,45))="","",INDEX(Inventory!G:G,SMALL($H$5:$H$304,45))),"")</f>
        <v/>
      </c>
      <c r="H49" s="1" t="str">
        <f aca="false">IF(Inventory!A47="","",IF(ISNUMBER(SEARCH($C$2,Inventory!A47)),ROW(Inventory!A47),""))</f>
        <v/>
      </c>
    </row>
    <row r="50" customFormat="false" ht="15" hidden="false" customHeight="false" outlineLevel="0" collapsed="false">
      <c r="A50" s="11" t="str">
        <f aca="false">IFERROR(IF(INDEX(Inventory!A:A,SMALL($H$5:$H$304,46))="","",INDEX(Inventory!A:A,SMALL($H$5:$H$304,46))),"")</f>
        <v/>
      </c>
      <c r="B50" s="11" t="str">
        <f aca="false">IFERROR(IF(INDEX(Inventory!B:B,SMALL($H$5:$H$304,46))="","",INDEX(Inventory!B:B,SMALL($H$5:$H$304,46))),"")</f>
        <v/>
      </c>
      <c r="C50" s="11" t="str">
        <f aca="false">IFERROR(IF(INDEX(Inventory!C:C,SMALL($H$5:$H$304,46))="","",INDEX(Inventory!C:C,SMALL($H$5:$H$304,46))),"")</f>
        <v/>
      </c>
      <c r="D50" s="11" t="str">
        <f aca="false">IFERROR(IF(INDEX(Inventory!D:D,SMALL($H$5:$H$304,46))="","",INDEX(Inventory!D:D,SMALL($H$5:$H$304,46))),"")</f>
        <v/>
      </c>
      <c r="E50" s="11" t="str">
        <f aca="false">IFERROR(IF(INDEX(Inventory!E:E,SMALL($H$5:$H$304,46))="","",INDEX(Inventory!E:E,SMALL($H$5:$H$304,46))),"")</f>
        <v/>
      </c>
      <c r="F50" s="11" t="str">
        <f aca="false">IFERROR(IF(INDEX(Inventory!F:F,SMALL($H$5:$H$304,46))="","",INDEX(Inventory!F:F,SMALL($H$5:$H$304,46))),"")</f>
        <v/>
      </c>
      <c r="G50" s="11" t="str">
        <f aca="false">IFERROR(IF(INDEX(Inventory!G:G,SMALL($H$5:$H$304,46))="","",INDEX(Inventory!G:G,SMALL($H$5:$H$304,46))),"")</f>
        <v/>
      </c>
      <c r="H50" s="1" t="str">
        <f aca="false">IF(Inventory!A48="","",IF(ISNUMBER(SEARCH($C$2,Inventory!A48)),ROW(Inventory!A48),""))</f>
        <v/>
      </c>
    </row>
    <row r="51" customFormat="false" ht="15" hidden="false" customHeight="false" outlineLevel="0" collapsed="false">
      <c r="A51" s="13" t="str">
        <f aca="false">IFERROR(IF(INDEX(Inventory!A:A,SMALL($H$5:$H$304,47))="","",INDEX(Inventory!A:A,SMALL($H$5:$H$304,47))),"")</f>
        <v/>
      </c>
      <c r="B51" s="13" t="str">
        <f aca="false">IFERROR(IF(INDEX(Inventory!B:B,SMALL($H$5:$H$304,47))="","",INDEX(Inventory!B:B,SMALL($H$5:$H$304,47))),"")</f>
        <v/>
      </c>
      <c r="C51" s="13" t="str">
        <f aca="false">IFERROR(IF(INDEX(Inventory!C:C,SMALL($H$5:$H$304,47))="","",INDEX(Inventory!C:C,SMALL($H$5:$H$304,47))),"")</f>
        <v/>
      </c>
      <c r="D51" s="13" t="str">
        <f aca="false">IFERROR(IF(INDEX(Inventory!D:D,SMALL($H$5:$H$304,47))="","",INDEX(Inventory!D:D,SMALL($H$5:$H$304,47))),"")</f>
        <v/>
      </c>
      <c r="E51" s="13" t="str">
        <f aca="false">IFERROR(IF(INDEX(Inventory!E:E,SMALL($H$5:$H$304,47))="","",INDEX(Inventory!E:E,SMALL($H$5:$H$304,47))),"")</f>
        <v/>
      </c>
      <c r="F51" s="13" t="str">
        <f aca="false">IFERROR(IF(INDEX(Inventory!F:F,SMALL($H$5:$H$304,47))="","",INDEX(Inventory!F:F,SMALL($H$5:$H$304,47))),"")</f>
        <v/>
      </c>
      <c r="G51" s="13" t="str">
        <f aca="false">IFERROR(IF(INDEX(Inventory!G:G,SMALL($H$5:$H$304,47))="","",INDEX(Inventory!G:G,SMALL($H$5:$H$304,47))),"")</f>
        <v/>
      </c>
      <c r="H51" s="1" t="str">
        <f aca="false">IF(Inventory!A49="","",IF(ISNUMBER(SEARCH($C$2,Inventory!A49)),ROW(Inventory!A49),""))</f>
        <v/>
      </c>
    </row>
    <row r="52" customFormat="false" ht="15" hidden="false" customHeight="false" outlineLevel="0" collapsed="false">
      <c r="A52" s="11" t="str">
        <f aca="false">IFERROR(IF(INDEX(Inventory!A:A,SMALL($H$5:$H$304,48))="","",INDEX(Inventory!A:A,SMALL($H$5:$H$304,48))),"")</f>
        <v/>
      </c>
      <c r="B52" s="11" t="str">
        <f aca="false">IFERROR(IF(INDEX(Inventory!B:B,SMALL($H$5:$H$304,48))="","",INDEX(Inventory!B:B,SMALL($H$5:$H$304,48))),"")</f>
        <v/>
      </c>
      <c r="C52" s="11" t="str">
        <f aca="false">IFERROR(IF(INDEX(Inventory!C:C,SMALL($H$5:$H$304,48))="","",INDEX(Inventory!C:C,SMALL($H$5:$H$304,48))),"")</f>
        <v/>
      </c>
      <c r="D52" s="11" t="str">
        <f aca="false">IFERROR(IF(INDEX(Inventory!D:D,SMALL($H$5:$H$304,48))="","",INDEX(Inventory!D:D,SMALL($H$5:$H$304,48))),"")</f>
        <v/>
      </c>
      <c r="E52" s="11" t="str">
        <f aca="false">IFERROR(IF(INDEX(Inventory!E:E,SMALL($H$5:$H$304,48))="","",INDEX(Inventory!E:E,SMALL($H$5:$H$304,48))),"")</f>
        <v/>
      </c>
      <c r="F52" s="11" t="str">
        <f aca="false">IFERROR(IF(INDEX(Inventory!F:F,SMALL($H$5:$H$304,48))="","",INDEX(Inventory!F:F,SMALL($H$5:$H$304,48))),"")</f>
        <v/>
      </c>
      <c r="G52" s="11" t="str">
        <f aca="false">IFERROR(IF(INDEX(Inventory!G:G,SMALL($H$5:$H$304,48))="","",INDEX(Inventory!G:G,SMALL($H$5:$H$304,48))),"")</f>
        <v/>
      </c>
      <c r="H52" s="1" t="str">
        <f aca="false">IF(Inventory!A50="","",IF(ISNUMBER(SEARCH($C$2,Inventory!A50)),ROW(Inventory!A50),""))</f>
        <v/>
      </c>
    </row>
    <row r="53" customFormat="false" ht="15" hidden="false" customHeight="false" outlineLevel="0" collapsed="false">
      <c r="A53" s="13" t="str">
        <f aca="false">IFERROR(IF(INDEX(Inventory!A:A,SMALL($H$5:$H$304,49))="","",INDEX(Inventory!A:A,SMALL($H$5:$H$304,49))),"")</f>
        <v/>
      </c>
      <c r="B53" s="13" t="str">
        <f aca="false">IFERROR(IF(INDEX(Inventory!B:B,SMALL($H$5:$H$304,49))="","",INDEX(Inventory!B:B,SMALL($H$5:$H$304,49))),"")</f>
        <v/>
      </c>
      <c r="C53" s="13" t="str">
        <f aca="false">IFERROR(IF(INDEX(Inventory!C:C,SMALL($H$5:$H$304,49))="","",INDEX(Inventory!C:C,SMALL($H$5:$H$304,49))),"")</f>
        <v/>
      </c>
      <c r="D53" s="13" t="str">
        <f aca="false">IFERROR(IF(INDEX(Inventory!D:D,SMALL($H$5:$H$304,49))="","",INDEX(Inventory!D:D,SMALL($H$5:$H$304,49))),"")</f>
        <v/>
      </c>
      <c r="E53" s="13" t="str">
        <f aca="false">IFERROR(IF(INDEX(Inventory!E:E,SMALL($H$5:$H$304,49))="","",INDEX(Inventory!E:E,SMALL($H$5:$H$304,49))),"")</f>
        <v/>
      </c>
      <c r="F53" s="13" t="str">
        <f aca="false">IFERROR(IF(INDEX(Inventory!F:F,SMALL($H$5:$H$304,49))="","",INDEX(Inventory!F:F,SMALL($H$5:$H$304,49))),"")</f>
        <v/>
      </c>
      <c r="G53" s="13" t="str">
        <f aca="false">IFERROR(IF(INDEX(Inventory!G:G,SMALL($H$5:$H$304,49))="","",INDEX(Inventory!G:G,SMALL($H$5:$H$304,49))),"")</f>
        <v/>
      </c>
      <c r="H53" s="1" t="str">
        <f aca="false">IF(Inventory!A51="","",IF(ISNUMBER(SEARCH($C$2,Inventory!A51)),ROW(Inventory!A51),""))</f>
        <v/>
      </c>
    </row>
    <row r="54" customFormat="false" ht="15" hidden="false" customHeight="false" outlineLevel="0" collapsed="false">
      <c r="A54" s="11" t="str">
        <f aca="false">IFERROR(IF(INDEX(Inventory!A:A,SMALL($H$5:$H$304,50))="","",INDEX(Inventory!A:A,SMALL($H$5:$H$304,50))),"")</f>
        <v/>
      </c>
      <c r="B54" s="11" t="str">
        <f aca="false">IFERROR(IF(INDEX(Inventory!B:B,SMALL($H$5:$H$304,50))="","",INDEX(Inventory!B:B,SMALL($H$5:$H$304,50))),"")</f>
        <v/>
      </c>
      <c r="C54" s="11" t="str">
        <f aca="false">IFERROR(IF(INDEX(Inventory!C:C,SMALL($H$5:$H$304,50))="","",INDEX(Inventory!C:C,SMALL($H$5:$H$304,50))),"")</f>
        <v/>
      </c>
      <c r="D54" s="11" t="str">
        <f aca="false">IFERROR(IF(INDEX(Inventory!D:D,SMALL($H$5:$H$304,50))="","",INDEX(Inventory!D:D,SMALL($H$5:$H$304,50))),"")</f>
        <v/>
      </c>
      <c r="E54" s="11" t="str">
        <f aca="false">IFERROR(IF(INDEX(Inventory!E:E,SMALL($H$5:$H$304,50))="","",INDEX(Inventory!E:E,SMALL($H$5:$H$304,50))),"")</f>
        <v/>
      </c>
      <c r="F54" s="11" t="str">
        <f aca="false">IFERROR(IF(INDEX(Inventory!F:F,SMALL($H$5:$H$304,50))="","",INDEX(Inventory!F:F,SMALL($H$5:$H$304,50))),"")</f>
        <v/>
      </c>
      <c r="G54" s="11" t="str">
        <f aca="false">IFERROR(IF(INDEX(Inventory!G:G,SMALL($H$5:$H$304,50))="","",INDEX(Inventory!G:G,SMALL($H$5:$H$304,50))),"")</f>
        <v/>
      </c>
      <c r="H54" s="1" t="str">
        <f aca="false">IF(Inventory!A52="","",IF(ISNUMBER(SEARCH($C$2,Inventory!A52)),ROW(Inventory!A52),""))</f>
        <v/>
      </c>
    </row>
    <row r="55" customFormat="false" ht="15" hidden="false" customHeight="false" outlineLevel="0" collapsed="false">
      <c r="A55" s="13" t="str">
        <f aca="false">IFERROR(IF(INDEX(Inventory!A:A,SMALL($H$5:$H$304,51))="","",INDEX(Inventory!A:A,SMALL($H$5:$H$304,51))),"")</f>
        <v/>
      </c>
      <c r="B55" s="13" t="str">
        <f aca="false">IFERROR(IF(INDEX(Inventory!B:B,SMALL($H$5:$H$304,51))="","",INDEX(Inventory!B:B,SMALL($H$5:$H$304,51))),"")</f>
        <v/>
      </c>
      <c r="C55" s="13" t="str">
        <f aca="false">IFERROR(IF(INDEX(Inventory!C:C,SMALL($H$5:$H$304,51))="","",INDEX(Inventory!C:C,SMALL($H$5:$H$304,51))),"")</f>
        <v/>
      </c>
      <c r="D55" s="13" t="str">
        <f aca="false">IFERROR(IF(INDEX(Inventory!D:D,SMALL($H$5:$H$304,51))="","",INDEX(Inventory!D:D,SMALL($H$5:$H$304,51))),"")</f>
        <v/>
      </c>
      <c r="E55" s="13" t="str">
        <f aca="false">IFERROR(IF(INDEX(Inventory!E:E,SMALL($H$5:$H$304,51))="","",INDEX(Inventory!E:E,SMALL($H$5:$H$304,51))),"")</f>
        <v/>
      </c>
      <c r="F55" s="13" t="str">
        <f aca="false">IFERROR(IF(INDEX(Inventory!F:F,SMALL($H$5:$H$304,51))="","",INDEX(Inventory!F:F,SMALL($H$5:$H$304,51))),"")</f>
        <v/>
      </c>
      <c r="G55" s="13" t="str">
        <f aca="false">IFERROR(IF(INDEX(Inventory!G:G,SMALL($H$5:$H$304,51))="","",INDEX(Inventory!G:G,SMALL($H$5:$H$304,51))),"")</f>
        <v/>
      </c>
      <c r="H55" s="1" t="str">
        <f aca="false">IF(Inventory!A53="","",IF(ISNUMBER(SEARCH($C$2,Inventory!A53)),ROW(Inventory!A53),""))</f>
        <v/>
      </c>
    </row>
    <row r="56" customFormat="false" ht="15" hidden="false" customHeight="false" outlineLevel="0" collapsed="false">
      <c r="A56" s="11" t="str">
        <f aca="false">IFERROR(IF(INDEX(Inventory!A:A,SMALL($H$5:$H$304,52))="","",INDEX(Inventory!A:A,SMALL($H$5:$H$304,52))),"")</f>
        <v/>
      </c>
      <c r="B56" s="11" t="str">
        <f aca="false">IFERROR(IF(INDEX(Inventory!B:B,SMALL($H$5:$H$304,52))="","",INDEX(Inventory!B:B,SMALL($H$5:$H$304,52))),"")</f>
        <v/>
      </c>
      <c r="C56" s="11" t="str">
        <f aca="false">IFERROR(IF(INDEX(Inventory!C:C,SMALL($H$5:$H$304,52))="","",INDEX(Inventory!C:C,SMALL($H$5:$H$304,52))),"")</f>
        <v/>
      </c>
      <c r="D56" s="11" t="str">
        <f aca="false">IFERROR(IF(INDEX(Inventory!D:D,SMALL($H$5:$H$304,52))="","",INDEX(Inventory!D:D,SMALL($H$5:$H$304,52))),"")</f>
        <v/>
      </c>
      <c r="E56" s="11" t="str">
        <f aca="false">IFERROR(IF(INDEX(Inventory!E:E,SMALL($H$5:$H$304,52))="","",INDEX(Inventory!E:E,SMALL($H$5:$H$304,52))),"")</f>
        <v/>
      </c>
      <c r="F56" s="11" t="str">
        <f aca="false">IFERROR(IF(INDEX(Inventory!F:F,SMALL($H$5:$H$304,52))="","",INDEX(Inventory!F:F,SMALL($H$5:$H$304,52))),"")</f>
        <v/>
      </c>
      <c r="G56" s="11" t="str">
        <f aca="false">IFERROR(IF(INDEX(Inventory!G:G,SMALL($H$5:$H$304,52))="","",INDEX(Inventory!G:G,SMALL($H$5:$H$304,52))),"")</f>
        <v/>
      </c>
      <c r="H56" s="1" t="str">
        <f aca="false">IF(Inventory!A54="","",IF(ISNUMBER(SEARCH($C$2,Inventory!A54)),ROW(Inventory!A54),""))</f>
        <v/>
      </c>
    </row>
    <row r="57" customFormat="false" ht="15" hidden="false" customHeight="false" outlineLevel="0" collapsed="false">
      <c r="A57" s="13" t="str">
        <f aca="false">IFERROR(IF(INDEX(Inventory!A:A,SMALL($H$5:$H$304,53))="","",INDEX(Inventory!A:A,SMALL($H$5:$H$304,53))),"")</f>
        <v/>
      </c>
      <c r="B57" s="13" t="str">
        <f aca="false">IFERROR(IF(INDEX(Inventory!B:B,SMALL($H$5:$H$304,53))="","",INDEX(Inventory!B:B,SMALL($H$5:$H$304,53))),"")</f>
        <v/>
      </c>
      <c r="C57" s="13" t="str">
        <f aca="false">IFERROR(IF(INDEX(Inventory!C:C,SMALL($H$5:$H$304,53))="","",INDEX(Inventory!C:C,SMALL($H$5:$H$304,53))),"")</f>
        <v/>
      </c>
      <c r="D57" s="13" t="str">
        <f aca="false">IFERROR(IF(INDEX(Inventory!D:D,SMALL($H$5:$H$304,53))="","",INDEX(Inventory!D:D,SMALL($H$5:$H$304,53))),"")</f>
        <v/>
      </c>
      <c r="E57" s="13" t="str">
        <f aca="false">IFERROR(IF(INDEX(Inventory!E:E,SMALL($H$5:$H$304,53))="","",INDEX(Inventory!E:E,SMALL($H$5:$H$304,53))),"")</f>
        <v/>
      </c>
      <c r="F57" s="13" t="str">
        <f aca="false">IFERROR(IF(INDEX(Inventory!F:F,SMALL($H$5:$H$304,53))="","",INDEX(Inventory!F:F,SMALL($H$5:$H$304,53))),"")</f>
        <v/>
      </c>
      <c r="G57" s="13" t="str">
        <f aca="false">IFERROR(IF(INDEX(Inventory!G:G,SMALL($H$5:$H$304,53))="","",INDEX(Inventory!G:G,SMALL($H$5:$H$304,53))),"")</f>
        <v/>
      </c>
      <c r="H57" s="1" t="str">
        <f aca="false">IF(Inventory!A55="","",IF(ISNUMBER(SEARCH($C$2,Inventory!A55)),ROW(Inventory!A55),""))</f>
        <v/>
      </c>
    </row>
    <row r="58" customFormat="false" ht="15" hidden="false" customHeight="false" outlineLevel="0" collapsed="false">
      <c r="A58" s="11" t="str">
        <f aca="false">IFERROR(IF(INDEX(Inventory!A:A,SMALL($H$5:$H$304,54))="","",INDEX(Inventory!A:A,SMALL($H$5:$H$304,54))),"")</f>
        <v/>
      </c>
      <c r="B58" s="11" t="str">
        <f aca="false">IFERROR(IF(INDEX(Inventory!B:B,SMALL($H$5:$H$304,54))="","",INDEX(Inventory!B:B,SMALL($H$5:$H$304,54))),"")</f>
        <v/>
      </c>
      <c r="C58" s="11" t="str">
        <f aca="false">IFERROR(IF(INDEX(Inventory!C:C,SMALL($H$5:$H$304,54))="","",INDEX(Inventory!C:C,SMALL($H$5:$H$304,54))),"")</f>
        <v/>
      </c>
      <c r="D58" s="11" t="str">
        <f aca="false">IFERROR(IF(INDEX(Inventory!D:D,SMALL($H$5:$H$304,54))="","",INDEX(Inventory!D:D,SMALL($H$5:$H$304,54))),"")</f>
        <v/>
      </c>
      <c r="E58" s="11" t="str">
        <f aca="false">IFERROR(IF(INDEX(Inventory!E:E,SMALL($H$5:$H$304,54))="","",INDEX(Inventory!E:E,SMALL($H$5:$H$304,54))),"")</f>
        <v/>
      </c>
      <c r="F58" s="11" t="str">
        <f aca="false">IFERROR(IF(INDEX(Inventory!F:F,SMALL($H$5:$H$304,54))="","",INDEX(Inventory!F:F,SMALL($H$5:$H$304,54))),"")</f>
        <v/>
      </c>
      <c r="G58" s="11" t="str">
        <f aca="false">IFERROR(IF(INDEX(Inventory!G:G,SMALL($H$5:$H$304,54))="","",INDEX(Inventory!G:G,SMALL($H$5:$H$304,54))),"")</f>
        <v/>
      </c>
      <c r="H58" s="1" t="str">
        <f aca="false">IF(Inventory!A56="","",IF(ISNUMBER(SEARCH($C$2,Inventory!A56)),ROW(Inventory!A56),""))</f>
        <v/>
      </c>
    </row>
    <row r="59" customFormat="false" ht="15" hidden="false" customHeight="false" outlineLevel="0" collapsed="false">
      <c r="A59" s="13" t="str">
        <f aca="false">IFERROR(IF(INDEX(Inventory!A:A,SMALL($H$5:$H$304,55))="","",INDEX(Inventory!A:A,SMALL($H$5:$H$304,55))),"")</f>
        <v/>
      </c>
      <c r="B59" s="13" t="str">
        <f aca="false">IFERROR(IF(INDEX(Inventory!B:B,SMALL($H$5:$H$304,55))="","",INDEX(Inventory!B:B,SMALL($H$5:$H$304,55))),"")</f>
        <v/>
      </c>
      <c r="C59" s="13" t="str">
        <f aca="false">IFERROR(IF(INDEX(Inventory!C:C,SMALL($H$5:$H$304,55))="","",INDEX(Inventory!C:C,SMALL($H$5:$H$304,55))),"")</f>
        <v/>
      </c>
      <c r="D59" s="13" t="str">
        <f aca="false">IFERROR(IF(INDEX(Inventory!D:D,SMALL($H$5:$H$304,55))="","",INDEX(Inventory!D:D,SMALL($H$5:$H$304,55))),"")</f>
        <v/>
      </c>
      <c r="E59" s="13" t="str">
        <f aca="false">IFERROR(IF(INDEX(Inventory!E:E,SMALL($H$5:$H$304,55))="","",INDEX(Inventory!E:E,SMALL($H$5:$H$304,55))),"")</f>
        <v/>
      </c>
      <c r="F59" s="13" t="str">
        <f aca="false">IFERROR(IF(INDEX(Inventory!F:F,SMALL($H$5:$H$304,55))="","",INDEX(Inventory!F:F,SMALL($H$5:$H$304,55))),"")</f>
        <v/>
      </c>
      <c r="G59" s="13" t="str">
        <f aca="false">IFERROR(IF(INDEX(Inventory!G:G,SMALL($H$5:$H$304,55))="","",INDEX(Inventory!G:G,SMALL($H$5:$H$304,55))),"")</f>
        <v/>
      </c>
      <c r="H59" s="1" t="str">
        <f aca="false">IF(Inventory!A57="","",IF(ISNUMBER(SEARCH($C$2,Inventory!A57)),ROW(Inventory!A57),""))</f>
        <v/>
      </c>
    </row>
    <row r="60" customFormat="false" ht="15" hidden="false" customHeight="false" outlineLevel="0" collapsed="false">
      <c r="A60" s="11" t="str">
        <f aca="false">IFERROR(IF(INDEX(Inventory!A:A,SMALL($H$5:$H$304,56))="","",INDEX(Inventory!A:A,SMALL($H$5:$H$304,56))),"")</f>
        <v/>
      </c>
      <c r="B60" s="11" t="str">
        <f aca="false">IFERROR(IF(INDEX(Inventory!B:B,SMALL($H$5:$H$304,56))="","",INDEX(Inventory!B:B,SMALL($H$5:$H$304,56))),"")</f>
        <v/>
      </c>
      <c r="C60" s="11" t="str">
        <f aca="false">IFERROR(IF(INDEX(Inventory!C:C,SMALL($H$5:$H$304,56))="","",INDEX(Inventory!C:C,SMALL($H$5:$H$304,56))),"")</f>
        <v/>
      </c>
      <c r="D60" s="11" t="str">
        <f aca="false">IFERROR(IF(INDEX(Inventory!D:D,SMALL($H$5:$H$304,56))="","",INDEX(Inventory!D:D,SMALL($H$5:$H$304,56))),"")</f>
        <v/>
      </c>
      <c r="E60" s="11" t="str">
        <f aca="false">IFERROR(IF(INDEX(Inventory!E:E,SMALL($H$5:$H$304,56))="","",INDEX(Inventory!E:E,SMALL($H$5:$H$304,56))),"")</f>
        <v/>
      </c>
      <c r="F60" s="11" t="str">
        <f aca="false">IFERROR(IF(INDEX(Inventory!F:F,SMALL($H$5:$H$304,56))="","",INDEX(Inventory!F:F,SMALL($H$5:$H$304,56))),"")</f>
        <v/>
      </c>
      <c r="G60" s="11" t="str">
        <f aca="false">IFERROR(IF(INDEX(Inventory!G:G,SMALL($H$5:$H$304,56))="","",INDEX(Inventory!G:G,SMALL($H$5:$H$304,56))),"")</f>
        <v/>
      </c>
      <c r="H60" s="1" t="str">
        <f aca="false">IF(Inventory!A58="","",IF(ISNUMBER(SEARCH($C$2,Inventory!A58)),ROW(Inventory!A58),""))</f>
        <v/>
      </c>
    </row>
    <row r="61" customFormat="false" ht="15" hidden="false" customHeight="false" outlineLevel="0" collapsed="false">
      <c r="A61" s="13" t="str">
        <f aca="false">IFERROR(IF(INDEX(Inventory!A:A,SMALL($H$5:$H$304,57))="","",INDEX(Inventory!A:A,SMALL($H$5:$H$304,57))),"")</f>
        <v/>
      </c>
      <c r="B61" s="13" t="str">
        <f aca="false">IFERROR(IF(INDEX(Inventory!B:B,SMALL($H$5:$H$304,57))="","",INDEX(Inventory!B:B,SMALL($H$5:$H$304,57))),"")</f>
        <v/>
      </c>
      <c r="C61" s="13" t="str">
        <f aca="false">IFERROR(IF(INDEX(Inventory!C:C,SMALL($H$5:$H$304,57))="","",INDEX(Inventory!C:C,SMALL($H$5:$H$304,57))),"")</f>
        <v/>
      </c>
      <c r="D61" s="13" t="str">
        <f aca="false">IFERROR(IF(INDEX(Inventory!D:D,SMALL($H$5:$H$304,57))="","",INDEX(Inventory!D:D,SMALL($H$5:$H$304,57))),"")</f>
        <v/>
      </c>
      <c r="E61" s="13" t="str">
        <f aca="false">IFERROR(IF(INDEX(Inventory!E:E,SMALL($H$5:$H$304,57))="","",INDEX(Inventory!E:E,SMALL($H$5:$H$304,57))),"")</f>
        <v/>
      </c>
      <c r="F61" s="13" t="str">
        <f aca="false">IFERROR(IF(INDEX(Inventory!F:F,SMALL($H$5:$H$304,57))="","",INDEX(Inventory!F:F,SMALL($H$5:$H$304,57))),"")</f>
        <v/>
      </c>
      <c r="G61" s="13" t="str">
        <f aca="false">IFERROR(IF(INDEX(Inventory!G:G,SMALL($H$5:$H$304,57))="","",INDEX(Inventory!G:G,SMALL($H$5:$H$304,57))),"")</f>
        <v/>
      </c>
      <c r="H61" s="1" t="str">
        <f aca="false">IF(Inventory!A59="","",IF(ISNUMBER(SEARCH($C$2,Inventory!A59)),ROW(Inventory!A59),""))</f>
        <v/>
      </c>
    </row>
    <row r="62" customFormat="false" ht="15" hidden="false" customHeight="false" outlineLevel="0" collapsed="false">
      <c r="A62" s="11" t="str">
        <f aca="false">IFERROR(IF(INDEX(Inventory!A:A,SMALL($H$5:$H$304,58))="","",INDEX(Inventory!A:A,SMALL($H$5:$H$304,58))),"")</f>
        <v/>
      </c>
      <c r="B62" s="11" t="str">
        <f aca="false">IFERROR(IF(INDEX(Inventory!B:B,SMALL($H$5:$H$304,58))="","",INDEX(Inventory!B:B,SMALL($H$5:$H$304,58))),"")</f>
        <v/>
      </c>
      <c r="C62" s="11" t="str">
        <f aca="false">IFERROR(IF(INDEX(Inventory!C:C,SMALL($H$5:$H$304,58))="","",INDEX(Inventory!C:C,SMALL($H$5:$H$304,58))),"")</f>
        <v/>
      </c>
      <c r="D62" s="11" t="str">
        <f aca="false">IFERROR(IF(INDEX(Inventory!D:D,SMALL($H$5:$H$304,58))="","",INDEX(Inventory!D:D,SMALL($H$5:$H$304,58))),"")</f>
        <v/>
      </c>
      <c r="E62" s="11" t="str">
        <f aca="false">IFERROR(IF(INDEX(Inventory!E:E,SMALL($H$5:$H$304,58))="","",INDEX(Inventory!E:E,SMALL($H$5:$H$304,58))),"")</f>
        <v/>
      </c>
      <c r="F62" s="11" t="str">
        <f aca="false">IFERROR(IF(INDEX(Inventory!F:F,SMALL($H$5:$H$304,58))="","",INDEX(Inventory!F:F,SMALL($H$5:$H$304,58))),"")</f>
        <v/>
      </c>
      <c r="G62" s="11" t="str">
        <f aca="false">IFERROR(IF(INDEX(Inventory!G:G,SMALL($H$5:$H$304,58))="","",INDEX(Inventory!G:G,SMALL($H$5:$H$304,58))),"")</f>
        <v/>
      </c>
      <c r="H62" s="1" t="str">
        <f aca="false">IF(Inventory!A60="","",IF(ISNUMBER(SEARCH($C$2,Inventory!A60)),ROW(Inventory!A60),""))</f>
        <v/>
      </c>
    </row>
    <row r="63" customFormat="false" ht="15" hidden="false" customHeight="false" outlineLevel="0" collapsed="false">
      <c r="A63" s="13" t="str">
        <f aca="false">IFERROR(IF(INDEX(Inventory!A:A,SMALL($H$5:$H$304,59))="","",INDEX(Inventory!A:A,SMALL($H$5:$H$304,59))),"")</f>
        <v/>
      </c>
      <c r="B63" s="13" t="str">
        <f aca="false">IFERROR(IF(INDEX(Inventory!B:B,SMALL($H$5:$H$304,59))="","",INDEX(Inventory!B:B,SMALL($H$5:$H$304,59))),"")</f>
        <v/>
      </c>
      <c r="C63" s="13" t="str">
        <f aca="false">IFERROR(IF(INDEX(Inventory!C:C,SMALL($H$5:$H$304,59))="","",INDEX(Inventory!C:C,SMALL($H$5:$H$304,59))),"")</f>
        <v/>
      </c>
      <c r="D63" s="13" t="str">
        <f aca="false">IFERROR(IF(INDEX(Inventory!D:D,SMALL($H$5:$H$304,59))="","",INDEX(Inventory!D:D,SMALL($H$5:$H$304,59))),"")</f>
        <v/>
      </c>
      <c r="E63" s="13" t="str">
        <f aca="false">IFERROR(IF(INDEX(Inventory!E:E,SMALL($H$5:$H$304,59))="","",INDEX(Inventory!E:E,SMALL($H$5:$H$304,59))),"")</f>
        <v/>
      </c>
      <c r="F63" s="13" t="str">
        <f aca="false">IFERROR(IF(INDEX(Inventory!F:F,SMALL($H$5:$H$304,59))="","",INDEX(Inventory!F:F,SMALL($H$5:$H$304,59))),"")</f>
        <v/>
      </c>
      <c r="G63" s="13" t="str">
        <f aca="false">IFERROR(IF(INDEX(Inventory!G:G,SMALL($H$5:$H$304,59))="","",INDEX(Inventory!G:G,SMALL($H$5:$H$304,59))),"")</f>
        <v/>
      </c>
      <c r="H63" s="1" t="str">
        <f aca="false">IF(Inventory!A61="","",IF(ISNUMBER(SEARCH($C$2,Inventory!A61)),ROW(Inventory!A61),""))</f>
        <v/>
      </c>
    </row>
    <row r="64" customFormat="false" ht="15" hidden="false" customHeight="false" outlineLevel="0" collapsed="false">
      <c r="A64" s="11" t="str">
        <f aca="false">IFERROR(IF(INDEX(Inventory!A:A,SMALL($H$5:$H$304,60))="","",INDEX(Inventory!A:A,SMALL($H$5:$H$304,60))),"")</f>
        <v/>
      </c>
      <c r="B64" s="11" t="str">
        <f aca="false">IFERROR(IF(INDEX(Inventory!B:B,SMALL($H$5:$H$304,60))="","",INDEX(Inventory!B:B,SMALL($H$5:$H$304,60))),"")</f>
        <v/>
      </c>
      <c r="C64" s="11" t="str">
        <f aca="false">IFERROR(IF(INDEX(Inventory!C:C,SMALL($H$5:$H$304,60))="","",INDEX(Inventory!C:C,SMALL($H$5:$H$304,60))),"")</f>
        <v/>
      </c>
      <c r="D64" s="11" t="str">
        <f aca="false">IFERROR(IF(INDEX(Inventory!D:D,SMALL($H$5:$H$304,60))="","",INDEX(Inventory!D:D,SMALL($H$5:$H$304,60))),"")</f>
        <v/>
      </c>
      <c r="E64" s="11" t="str">
        <f aca="false">IFERROR(IF(INDEX(Inventory!E:E,SMALL($H$5:$H$304,60))="","",INDEX(Inventory!E:E,SMALL($H$5:$H$304,60))),"")</f>
        <v/>
      </c>
      <c r="F64" s="11" t="str">
        <f aca="false">IFERROR(IF(INDEX(Inventory!F:F,SMALL($H$5:$H$304,60))="","",INDEX(Inventory!F:F,SMALL($H$5:$H$304,60))),"")</f>
        <v/>
      </c>
      <c r="G64" s="11" t="str">
        <f aca="false">IFERROR(IF(INDEX(Inventory!G:G,SMALL($H$5:$H$304,60))="","",INDEX(Inventory!G:G,SMALL($H$5:$H$304,60))),"")</f>
        <v/>
      </c>
      <c r="H64" s="1" t="str">
        <f aca="false">IF(Inventory!A62="","",IF(ISNUMBER(SEARCH($C$2,Inventory!A62)),ROW(Inventory!A62),""))</f>
        <v/>
      </c>
    </row>
    <row r="65" customFormat="false" ht="15" hidden="false" customHeight="false" outlineLevel="0" collapsed="false">
      <c r="A65" s="13" t="str">
        <f aca="false">IFERROR(IF(INDEX(Inventory!A:A,SMALL($H$5:$H$304,61))="","",INDEX(Inventory!A:A,SMALL($H$5:$H$304,61))),"")</f>
        <v/>
      </c>
      <c r="B65" s="13" t="str">
        <f aca="false">IFERROR(IF(INDEX(Inventory!B:B,SMALL($H$5:$H$304,61))="","",INDEX(Inventory!B:B,SMALL($H$5:$H$304,61))),"")</f>
        <v/>
      </c>
      <c r="C65" s="13" t="str">
        <f aca="false">IFERROR(IF(INDEX(Inventory!C:C,SMALL($H$5:$H$304,61))="","",INDEX(Inventory!C:C,SMALL($H$5:$H$304,61))),"")</f>
        <v/>
      </c>
      <c r="D65" s="13" t="str">
        <f aca="false">IFERROR(IF(INDEX(Inventory!D:D,SMALL($H$5:$H$304,61))="","",INDEX(Inventory!D:D,SMALL($H$5:$H$304,61))),"")</f>
        <v/>
      </c>
      <c r="E65" s="13" t="str">
        <f aca="false">IFERROR(IF(INDEX(Inventory!E:E,SMALL($H$5:$H$304,61))="","",INDEX(Inventory!E:E,SMALL($H$5:$H$304,61))),"")</f>
        <v/>
      </c>
      <c r="F65" s="13" t="str">
        <f aca="false">IFERROR(IF(INDEX(Inventory!F:F,SMALL($H$5:$H$304,61))="","",INDEX(Inventory!F:F,SMALL($H$5:$H$304,61))),"")</f>
        <v/>
      </c>
      <c r="G65" s="13" t="str">
        <f aca="false">IFERROR(IF(INDEX(Inventory!G:G,SMALL($H$5:$H$304,61))="","",INDEX(Inventory!G:G,SMALL($H$5:$H$304,61))),"")</f>
        <v/>
      </c>
      <c r="H65" s="1" t="str">
        <f aca="false">IF(Inventory!A63="","",IF(ISNUMBER(SEARCH($C$2,Inventory!A63)),ROW(Inventory!A63),""))</f>
        <v/>
      </c>
    </row>
    <row r="66" customFormat="false" ht="15" hidden="false" customHeight="false" outlineLevel="0" collapsed="false">
      <c r="A66" s="11" t="str">
        <f aca="false">IFERROR(IF(INDEX(Inventory!A:A,SMALL($H$5:$H$304,62))="","",INDEX(Inventory!A:A,SMALL($H$5:$H$304,62))),"")</f>
        <v/>
      </c>
      <c r="B66" s="11" t="str">
        <f aca="false">IFERROR(IF(INDEX(Inventory!B:B,SMALL($H$5:$H$304,62))="","",INDEX(Inventory!B:B,SMALL($H$5:$H$304,62))),"")</f>
        <v/>
      </c>
      <c r="C66" s="11" t="str">
        <f aca="false">IFERROR(IF(INDEX(Inventory!C:C,SMALL($H$5:$H$304,62))="","",INDEX(Inventory!C:C,SMALL($H$5:$H$304,62))),"")</f>
        <v/>
      </c>
      <c r="D66" s="11" t="str">
        <f aca="false">IFERROR(IF(INDEX(Inventory!D:D,SMALL($H$5:$H$304,62))="","",INDEX(Inventory!D:D,SMALL($H$5:$H$304,62))),"")</f>
        <v/>
      </c>
      <c r="E66" s="11" t="str">
        <f aca="false">IFERROR(IF(INDEX(Inventory!E:E,SMALL($H$5:$H$304,62))="","",INDEX(Inventory!E:E,SMALL($H$5:$H$304,62))),"")</f>
        <v/>
      </c>
      <c r="F66" s="11" t="str">
        <f aca="false">IFERROR(IF(INDEX(Inventory!F:F,SMALL($H$5:$H$304,62))="","",INDEX(Inventory!F:F,SMALL($H$5:$H$304,62))),"")</f>
        <v/>
      </c>
      <c r="G66" s="11" t="str">
        <f aca="false">IFERROR(IF(INDEX(Inventory!G:G,SMALL($H$5:$H$304,62))="","",INDEX(Inventory!G:G,SMALL($H$5:$H$304,62))),"")</f>
        <v/>
      </c>
      <c r="H66" s="1" t="str">
        <f aca="false">IF(Inventory!A64="","",IF(ISNUMBER(SEARCH($C$2,Inventory!A64)),ROW(Inventory!A64),""))</f>
        <v/>
      </c>
    </row>
    <row r="67" customFormat="false" ht="15" hidden="false" customHeight="false" outlineLevel="0" collapsed="false">
      <c r="A67" s="13" t="str">
        <f aca="false">IFERROR(IF(INDEX(Inventory!A:A,SMALL($H$5:$H$304,63))="","",INDEX(Inventory!A:A,SMALL($H$5:$H$304,63))),"")</f>
        <v/>
      </c>
      <c r="B67" s="13" t="str">
        <f aca="false">IFERROR(IF(INDEX(Inventory!B:B,SMALL($H$5:$H$304,63))="","",INDEX(Inventory!B:B,SMALL($H$5:$H$304,63))),"")</f>
        <v/>
      </c>
      <c r="C67" s="13" t="str">
        <f aca="false">IFERROR(IF(INDEX(Inventory!C:C,SMALL($H$5:$H$304,63))="","",INDEX(Inventory!C:C,SMALL($H$5:$H$304,63))),"")</f>
        <v/>
      </c>
      <c r="D67" s="13" t="str">
        <f aca="false">IFERROR(IF(INDEX(Inventory!D:D,SMALL($H$5:$H$304,63))="","",INDEX(Inventory!D:D,SMALL($H$5:$H$304,63))),"")</f>
        <v/>
      </c>
      <c r="E67" s="13" t="str">
        <f aca="false">IFERROR(IF(INDEX(Inventory!E:E,SMALL($H$5:$H$304,63))="","",INDEX(Inventory!E:E,SMALL($H$5:$H$304,63))),"")</f>
        <v/>
      </c>
      <c r="F67" s="13" t="str">
        <f aca="false">IFERROR(IF(INDEX(Inventory!F:F,SMALL($H$5:$H$304,63))="","",INDEX(Inventory!F:F,SMALL($H$5:$H$304,63))),"")</f>
        <v/>
      </c>
      <c r="G67" s="13" t="str">
        <f aca="false">IFERROR(IF(INDEX(Inventory!G:G,SMALL($H$5:$H$304,63))="","",INDEX(Inventory!G:G,SMALL($H$5:$H$304,63))),"")</f>
        <v/>
      </c>
      <c r="H67" s="1" t="str">
        <f aca="false">IF(Inventory!A65="","",IF(ISNUMBER(SEARCH($C$2,Inventory!A65)),ROW(Inventory!A65),""))</f>
        <v/>
      </c>
    </row>
    <row r="68" customFormat="false" ht="15" hidden="false" customHeight="false" outlineLevel="0" collapsed="false">
      <c r="A68" s="11" t="str">
        <f aca="false">IFERROR(IF(INDEX(Inventory!A:A,SMALL($H$5:$H$304,64))="","",INDEX(Inventory!A:A,SMALL($H$5:$H$304,64))),"")</f>
        <v/>
      </c>
      <c r="B68" s="11" t="str">
        <f aca="false">IFERROR(IF(INDEX(Inventory!B:B,SMALL($H$5:$H$304,64))="","",INDEX(Inventory!B:B,SMALL($H$5:$H$304,64))),"")</f>
        <v/>
      </c>
      <c r="C68" s="11" t="str">
        <f aca="false">IFERROR(IF(INDEX(Inventory!C:C,SMALL($H$5:$H$304,64))="","",INDEX(Inventory!C:C,SMALL($H$5:$H$304,64))),"")</f>
        <v/>
      </c>
      <c r="D68" s="11" t="str">
        <f aca="false">IFERROR(IF(INDEX(Inventory!D:D,SMALL($H$5:$H$304,64))="","",INDEX(Inventory!D:D,SMALL($H$5:$H$304,64))),"")</f>
        <v/>
      </c>
      <c r="E68" s="11" t="str">
        <f aca="false">IFERROR(IF(INDEX(Inventory!E:E,SMALL($H$5:$H$304,64))="","",INDEX(Inventory!E:E,SMALL($H$5:$H$304,64))),"")</f>
        <v/>
      </c>
      <c r="F68" s="11" t="str">
        <f aca="false">IFERROR(IF(INDEX(Inventory!F:F,SMALL($H$5:$H$304,64))="","",INDEX(Inventory!F:F,SMALL($H$5:$H$304,64))),"")</f>
        <v/>
      </c>
      <c r="G68" s="11" t="str">
        <f aca="false">IFERROR(IF(INDEX(Inventory!G:G,SMALL($H$5:$H$304,64))="","",INDEX(Inventory!G:G,SMALL($H$5:$H$304,64))),"")</f>
        <v/>
      </c>
      <c r="H68" s="1" t="str">
        <f aca="false">IF(Inventory!A66="","",IF(ISNUMBER(SEARCH($C$2,Inventory!A66)),ROW(Inventory!A66),""))</f>
        <v/>
      </c>
    </row>
    <row r="69" customFormat="false" ht="15" hidden="false" customHeight="false" outlineLevel="0" collapsed="false">
      <c r="A69" s="13" t="str">
        <f aca="false">IFERROR(IF(INDEX(Inventory!A:A,SMALL($H$5:$H$304,65))="","",INDEX(Inventory!A:A,SMALL($H$5:$H$304,65))),"")</f>
        <v/>
      </c>
      <c r="B69" s="13" t="str">
        <f aca="false">IFERROR(IF(INDEX(Inventory!B:B,SMALL($H$5:$H$304,65))="","",INDEX(Inventory!B:B,SMALL($H$5:$H$304,65))),"")</f>
        <v/>
      </c>
      <c r="C69" s="13" t="str">
        <f aca="false">IFERROR(IF(INDEX(Inventory!C:C,SMALL($H$5:$H$304,65))="","",INDEX(Inventory!C:C,SMALL($H$5:$H$304,65))),"")</f>
        <v/>
      </c>
      <c r="D69" s="13" t="str">
        <f aca="false">IFERROR(IF(INDEX(Inventory!D:D,SMALL($H$5:$H$304,65))="","",INDEX(Inventory!D:D,SMALL($H$5:$H$304,65))),"")</f>
        <v/>
      </c>
      <c r="E69" s="13" t="str">
        <f aca="false">IFERROR(IF(INDEX(Inventory!E:E,SMALL($H$5:$H$304,65))="","",INDEX(Inventory!E:E,SMALL($H$5:$H$304,65))),"")</f>
        <v/>
      </c>
      <c r="F69" s="13" t="str">
        <f aca="false">IFERROR(IF(INDEX(Inventory!F:F,SMALL($H$5:$H$304,65))="","",INDEX(Inventory!F:F,SMALL($H$5:$H$304,65))),"")</f>
        <v/>
      </c>
      <c r="G69" s="13" t="str">
        <f aca="false">IFERROR(IF(INDEX(Inventory!G:G,SMALL($H$5:$H$304,65))="","",INDEX(Inventory!G:G,SMALL($H$5:$H$304,65))),"")</f>
        <v/>
      </c>
      <c r="H69" s="1" t="str">
        <f aca="false">IF(Inventory!A67="","",IF(ISNUMBER(SEARCH($C$2,Inventory!A67)),ROW(Inventory!A67),""))</f>
        <v/>
      </c>
    </row>
    <row r="70" customFormat="false" ht="15" hidden="false" customHeight="false" outlineLevel="0" collapsed="false">
      <c r="A70" s="11" t="str">
        <f aca="false">IFERROR(IF(INDEX(Inventory!A:A,SMALL($H$5:$H$304,66))="","",INDEX(Inventory!A:A,SMALL($H$5:$H$304,66))),"")</f>
        <v/>
      </c>
      <c r="B70" s="11" t="str">
        <f aca="false">IFERROR(IF(INDEX(Inventory!B:B,SMALL($H$5:$H$304,66))="","",INDEX(Inventory!B:B,SMALL($H$5:$H$304,66))),"")</f>
        <v/>
      </c>
      <c r="C70" s="11" t="str">
        <f aca="false">IFERROR(IF(INDEX(Inventory!C:C,SMALL($H$5:$H$304,66))="","",INDEX(Inventory!C:C,SMALL($H$5:$H$304,66))),"")</f>
        <v/>
      </c>
      <c r="D70" s="11" t="str">
        <f aca="false">IFERROR(IF(INDEX(Inventory!D:D,SMALL($H$5:$H$304,66))="","",INDEX(Inventory!D:D,SMALL($H$5:$H$304,66))),"")</f>
        <v/>
      </c>
      <c r="E70" s="11" t="str">
        <f aca="false">IFERROR(IF(INDEX(Inventory!E:E,SMALL($H$5:$H$304,66))="","",INDEX(Inventory!E:E,SMALL($H$5:$H$304,66))),"")</f>
        <v/>
      </c>
      <c r="F70" s="11" t="str">
        <f aca="false">IFERROR(IF(INDEX(Inventory!F:F,SMALL($H$5:$H$304,66))="","",INDEX(Inventory!F:F,SMALL($H$5:$H$304,66))),"")</f>
        <v/>
      </c>
      <c r="G70" s="11" t="str">
        <f aca="false">IFERROR(IF(INDEX(Inventory!G:G,SMALL($H$5:$H$304,66))="","",INDEX(Inventory!G:G,SMALL($H$5:$H$304,66))),"")</f>
        <v/>
      </c>
      <c r="H70" s="1" t="str">
        <f aca="false">IF(Inventory!A68="","",IF(ISNUMBER(SEARCH($C$2,Inventory!A68)),ROW(Inventory!A68),""))</f>
        <v/>
      </c>
    </row>
    <row r="71" customFormat="false" ht="15" hidden="false" customHeight="false" outlineLevel="0" collapsed="false">
      <c r="A71" s="13" t="str">
        <f aca="false">IFERROR(IF(INDEX(Inventory!A:A,SMALL($H$5:$H$304,67))="","",INDEX(Inventory!A:A,SMALL($H$5:$H$304,67))),"")</f>
        <v/>
      </c>
      <c r="B71" s="13" t="str">
        <f aca="false">IFERROR(IF(INDEX(Inventory!B:B,SMALL($H$5:$H$304,67))="","",INDEX(Inventory!B:B,SMALL($H$5:$H$304,67))),"")</f>
        <v/>
      </c>
      <c r="C71" s="13" t="str">
        <f aca="false">IFERROR(IF(INDEX(Inventory!C:C,SMALL($H$5:$H$304,67))="","",INDEX(Inventory!C:C,SMALL($H$5:$H$304,67))),"")</f>
        <v/>
      </c>
      <c r="D71" s="13" t="str">
        <f aca="false">IFERROR(IF(INDEX(Inventory!D:D,SMALL($H$5:$H$304,67))="","",INDEX(Inventory!D:D,SMALL($H$5:$H$304,67))),"")</f>
        <v/>
      </c>
      <c r="E71" s="13" t="str">
        <f aca="false">IFERROR(IF(INDEX(Inventory!E:E,SMALL($H$5:$H$304,67))="","",INDEX(Inventory!E:E,SMALL($H$5:$H$304,67))),"")</f>
        <v/>
      </c>
      <c r="F71" s="13" t="str">
        <f aca="false">IFERROR(IF(INDEX(Inventory!F:F,SMALL($H$5:$H$304,67))="","",INDEX(Inventory!F:F,SMALL($H$5:$H$304,67))),"")</f>
        <v/>
      </c>
      <c r="G71" s="13" t="str">
        <f aca="false">IFERROR(IF(INDEX(Inventory!G:G,SMALL($H$5:$H$304,67))="","",INDEX(Inventory!G:G,SMALL($H$5:$H$304,67))),"")</f>
        <v/>
      </c>
      <c r="H71" s="1" t="str">
        <f aca="false">IF(Inventory!A69="","",IF(ISNUMBER(SEARCH($C$2,Inventory!A69)),ROW(Inventory!A69),""))</f>
        <v/>
      </c>
    </row>
    <row r="72" customFormat="false" ht="15" hidden="false" customHeight="false" outlineLevel="0" collapsed="false">
      <c r="A72" s="11" t="str">
        <f aca="false">IFERROR(IF(INDEX(Inventory!A:A,SMALL($H$5:$H$304,68))="","",INDEX(Inventory!A:A,SMALL($H$5:$H$304,68))),"")</f>
        <v/>
      </c>
      <c r="B72" s="11" t="str">
        <f aca="false">IFERROR(IF(INDEX(Inventory!B:B,SMALL($H$5:$H$304,68))="","",INDEX(Inventory!B:B,SMALL($H$5:$H$304,68))),"")</f>
        <v/>
      </c>
      <c r="C72" s="11" t="str">
        <f aca="false">IFERROR(IF(INDEX(Inventory!C:C,SMALL($H$5:$H$304,68))="","",INDEX(Inventory!C:C,SMALL($H$5:$H$304,68))),"")</f>
        <v/>
      </c>
      <c r="D72" s="11" t="str">
        <f aca="false">IFERROR(IF(INDEX(Inventory!D:D,SMALL($H$5:$H$304,68))="","",INDEX(Inventory!D:D,SMALL($H$5:$H$304,68))),"")</f>
        <v/>
      </c>
      <c r="E72" s="11" t="str">
        <f aca="false">IFERROR(IF(INDEX(Inventory!E:E,SMALL($H$5:$H$304,68))="","",INDEX(Inventory!E:E,SMALL($H$5:$H$304,68))),"")</f>
        <v/>
      </c>
      <c r="F72" s="11" t="str">
        <f aca="false">IFERROR(IF(INDEX(Inventory!F:F,SMALL($H$5:$H$304,68))="","",INDEX(Inventory!F:F,SMALL($H$5:$H$304,68))),"")</f>
        <v/>
      </c>
      <c r="G72" s="11" t="str">
        <f aca="false">IFERROR(IF(INDEX(Inventory!G:G,SMALL($H$5:$H$304,68))="","",INDEX(Inventory!G:G,SMALL($H$5:$H$304,68))),"")</f>
        <v/>
      </c>
      <c r="H72" s="1" t="str">
        <f aca="false">IF(Inventory!A70="","",IF(ISNUMBER(SEARCH($C$2,Inventory!A70)),ROW(Inventory!A70),""))</f>
        <v/>
      </c>
    </row>
    <row r="73" customFormat="false" ht="15" hidden="false" customHeight="false" outlineLevel="0" collapsed="false">
      <c r="A73" s="13" t="str">
        <f aca="false">IFERROR(IF(INDEX(Inventory!A:A,SMALL($H$5:$H$304,69))="","",INDEX(Inventory!A:A,SMALL($H$5:$H$304,69))),"")</f>
        <v/>
      </c>
      <c r="B73" s="13" t="str">
        <f aca="false">IFERROR(IF(INDEX(Inventory!B:B,SMALL($H$5:$H$304,69))="","",INDEX(Inventory!B:B,SMALL($H$5:$H$304,69))),"")</f>
        <v/>
      </c>
      <c r="C73" s="13" t="str">
        <f aca="false">IFERROR(IF(INDEX(Inventory!C:C,SMALL($H$5:$H$304,69))="","",INDEX(Inventory!C:C,SMALL($H$5:$H$304,69))),"")</f>
        <v/>
      </c>
      <c r="D73" s="13" t="str">
        <f aca="false">IFERROR(IF(INDEX(Inventory!D:D,SMALL($H$5:$H$304,69))="","",INDEX(Inventory!D:D,SMALL($H$5:$H$304,69))),"")</f>
        <v/>
      </c>
      <c r="E73" s="13" t="str">
        <f aca="false">IFERROR(IF(INDEX(Inventory!E:E,SMALL($H$5:$H$304,69))="","",INDEX(Inventory!E:E,SMALL($H$5:$H$304,69))),"")</f>
        <v/>
      </c>
      <c r="F73" s="13" t="str">
        <f aca="false">IFERROR(IF(INDEX(Inventory!F:F,SMALL($H$5:$H$304,69))="","",INDEX(Inventory!F:F,SMALL($H$5:$H$304,69))),"")</f>
        <v/>
      </c>
      <c r="G73" s="13" t="str">
        <f aca="false">IFERROR(IF(INDEX(Inventory!G:G,SMALL($H$5:$H$304,69))="","",INDEX(Inventory!G:G,SMALL($H$5:$H$304,69))),"")</f>
        <v/>
      </c>
      <c r="H73" s="1" t="str">
        <f aca="false">IF(Inventory!A71="","",IF(ISNUMBER(SEARCH($C$2,Inventory!A71)),ROW(Inventory!A71),""))</f>
        <v/>
      </c>
    </row>
    <row r="74" customFormat="false" ht="15" hidden="false" customHeight="false" outlineLevel="0" collapsed="false">
      <c r="A74" s="11" t="str">
        <f aca="false">IFERROR(IF(INDEX(Inventory!A:A,SMALL($H$5:$H$304,70))="","",INDEX(Inventory!A:A,SMALL($H$5:$H$304,70))),"")</f>
        <v/>
      </c>
      <c r="B74" s="11" t="str">
        <f aca="false">IFERROR(IF(INDEX(Inventory!B:B,SMALL($H$5:$H$304,70))="","",INDEX(Inventory!B:B,SMALL($H$5:$H$304,70))),"")</f>
        <v/>
      </c>
      <c r="C74" s="11" t="str">
        <f aca="false">IFERROR(IF(INDEX(Inventory!C:C,SMALL($H$5:$H$304,70))="","",INDEX(Inventory!C:C,SMALL($H$5:$H$304,70))),"")</f>
        <v/>
      </c>
      <c r="D74" s="11" t="str">
        <f aca="false">IFERROR(IF(INDEX(Inventory!D:D,SMALL($H$5:$H$304,70))="","",INDEX(Inventory!D:D,SMALL($H$5:$H$304,70))),"")</f>
        <v/>
      </c>
      <c r="E74" s="11" t="str">
        <f aca="false">IFERROR(IF(INDEX(Inventory!E:E,SMALL($H$5:$H$304,70))="","",INDEX(Inventory!E:E,SMALL($H$5:$H$304,70))),"")</f>
        <v/>
      </c>
      <c r="F74" s="11" t="str">
        <f aca="false">IFERROR(IF(INDEX(Inventory!F:F,SMALL($H$5:$H$304,70))="","",INDEX(Inventory!F:F,SMALL($H$5:$H$304,70))),"")</f>
        <v/>
      </c>
      <c r="G74" s="11" t="str">
        <f aca="false">IFERROR(IF(INDEX(Inventory!G:G,SMALL($H$5:$H$304,70))="","",INDEX(Inventory!G:G,SMALL($H$5:$H$304,70))),"")</f>
        <v/>
      </c>
      <c r="H74" s="1" t="str">
        <f aca="false">IF(Inventory!A72="","",IF(ISNUMBER(SEARCH($C$2,Inventory!A72)),ROW(Inventory!A72),""))</f>
        <v/>
      </c>
    </row>
    <row r="75" customFormat="false" ht="15" hidden="false" customHeight="false" outlineLevel="0" collapsed="false">
      <c r="A75" s="13" t="str">
        <f aca="false">IFERROR(IF(INDEX(Inventory!A:A,SMALL($H$5:$H$304,71))="","",INDEX(Inventory!A:A,SMALL($H$5:$H$304,71))),"")</f>
        <v/>
      </c>
      <c r="B75" s="13" t="str">
        <f aca="false">IFERROR(IF(INDEX(Inventory!B:B,SMALL($H$5:$H$304,71))="","",INDEX(Inventory!B:B,SMALL($H$5:$H$304,71))),"")</f>
        <v/>
      </c>
      <c r="C75" s="13" t="str">
        <f aca="false">IFERROR(IF(INDEX(Inventory!C:C,SMALL($H$5:$H$304,71))="","",INDEX(Inventory!C:C,SMALL($H$5:$H$304,71))),"")</f>
        <v/>
      </c>
      <c r="D75" s="13" t="str">
        <f aca="false">IFERROR(IF(INDEX(Inventory!D:D,SMALL($H$5:$H$304,71))="","",INDEX(Inventory!D:D,SMALL($H$5:$H$304,71))),"")</f>
        <v/>
      </c>
      <c r="E75" s="13" t="str">
        <f aca="false">IFERROR(IF(INDEX(Inventory!E:E,SMALL($H$5:$H$304,71))="","",INDEX(Inventory!E:E,SMALL($H$5:$H$304,71))),"")</f>
        <v/>
      </c>
      <c r="F75" s="13" t="str">
        <f aca="false">IFERROR(IF(INDEX(Inventory!F:F,SMALL($H$5:$H$304,71))="","",INDEX(Inventory!F:F,SMALL($H$5:$H$304,71))),"")</f>
        <v/>
      </c>
      <c r="G75" s="13" t="str">
        <f aca="false">IFERROR(IF(INDEX(Inventory!G:G,SMALL($H$5:$H$304,71))="","",INDEX(Inventory!G:G,SMALL($H$5:$H$304,71))),"")</f>
        <v/>
      </c>
      <c r="H75" s="1" t="str">
        <f aca="false">IF(Inventory!A73="","",IF(ISNUMBER(SEARCH($C$2,Inventory!A73)),ROW(Inventory!A73),""))</f>
        <v/>
      </c>
    </row>
    <row r="76" customFormat="false" ht="15" hidden="false" customHeight="false" outlineLevel="0" collapsed="false">
      <c r="A76" s="11" t="str">
        <f aca="false">IFERROR(IF(INDEX(Inventory!A:A,SMALL($H$5:$H$304,72))="","",INDEX(Inventory!A:A,SMALL($H$5:$H$304,72))),"")</f>
        <v/>
      </c>
      <c r="B76" s="11" t="str">
        <f aca="false">IFERROR(IF(INDEX(Inventory!B:B,SMALL($H$5:$H$304,72))="","",INDEX(Inventory!B:B,SMALL($H$5:$H$304,72))),"")</f>
        <v/>
      </c>
      <c r="C76" s="11" t="str">
        <f aca="false">IFERROR(IF(INDEX(Inventory!C:C,SMALL($H$5:$H$304,72))="","",INDEX(Inventory!C:C,SMALL($H$5:$H$304,72))),"")</f>
        <v/>
      </c>
      <c r="D76" s="11" t="str">
        <f aca="false">IFERROR(IF(INDEX(Inventory!D:D,SMALL($H$5:$H$304,72))="","",INDEX(Inventory!D:D,SMALL($H$5:$H$304,72))),"")</f>
        <v/>
      </c>
      <c r="E76" s="11" t="str">
        <f aca="false">IFERROR(IF(INDEX(Inventory!E:E,SMALL($H$5:$H$304,72))="","",INDEX(Inventory!E:E,SMALL($H$5:$H$304,72))),"")</f>
        <v/>
      </c>
      <c r="F76" s="11" t="str">
        <f aca="false">IFERROR(IF(INDEX(Inventory!F:F,SMALL($H$5:$H$304,72))="","",INDEX(Inventory!F:F,SMALL($H$5:$H$304,72))),"")</f>
        <v/>
      </c>
      <c r="G76" s="11" t="str">
        <f aca="false">IFERROR(IF(INDEX(Inventory!G:G,SMALL($H$5:$H$304,72))="","",INDEX(Inventory!G:G,SMALL($H$5:$H$304,72))),"")</f>
        <v/>
      </c>
      <c r="H76" s="1" t="str">
        <f aca="false">IF(Inventory!A74="","",IF(ISNUMBER(SEARCH($C$2,Inventory!A74)),ROW(Inventory!A74),""))</f>
        <v/>
      </c>
    </row>
    <row r="77" customFormat="false" ht="15" hidden="false" customHeight="false" outlineLevel="0" collapsed="false">
      <c r="A77" s="13" t="str">
        <f aca="false">IFERROR(IF(INDEX(Inventory!A:A,SMALL($H$5:$H$304,73))="","",INDEX(Inventory!A:A,SMALL($H$5:$H$304,73))),"")</f>
        <v/>
      </c>
      <c r="B77" s="13" t="str">
        <f aca="false">IFERROR(IF(INDEX(Inventory!B:B,SMALL($H$5:$H$304,73))="","",INDEX(Inventory!B:B,SMALL($H$5:$H$304,73))),"")</f>
        <v/>
      </c>
      <c r="C77" s="13" t="str">
        <f aca="false">IFERROR(IF(INDEX(Inventory!C:C,SMALL($H$5:$H$304,73))="","",INDEX(Inventory!C:C,SMALL($H$5:$H$304,73))),"")</f>
        <v/>
      </c>
      <c r="D77" s="13" t="str">
        <f aca="false">IFERROR(IF(INDEX(Inventory!D:D,SMALL($H$5:$H$304,73))="","",INDEX(Inventory!D:D,SMALL($H$5:$H$304,73))),"")</f>
        <v/>
      </c>
      <c r="E77" s="13" t="str">
        <f aca="false">IFERROR(IF(INDEX(Inventory!E:E,SMALL($H$5:$H$304,73))="","",INDEX(Inventory!E:E,SMALL($H$5:$H$304,73))),"")</f>
        <v/>
      </c>
      <c r="F77" s="13" t="str">
        <f aca="false">IFERROR(IF(INDEX(Inventory!F:F,SMALL($H$5:$H$304,73))="","",INDEX(Inventory!F:F,SMALL($H$5:$H$304,73))),"")</f>
        <v/>
      </c>
      <c r="G77" s="13" t="str">
        <f aca="false">IFERROR(IF(INDEX(Inventory!G:G,SMALL($H$5:$H$304,73))="","",INDEX(Inventory!G:G,SMALL($H$5:$H$304,73))),"")</f>
        <v/>
      </c>
      <c r="H77" s="1" t="str">
        <f aca="false">IF(Inventory!A75="","",IF(ISNUMBER(SEARCH($C$2,Inventory!A75)),ROW(Inventory!A75),""))</f>
        <v/>
      </c>
    </row>
    <row r="78" customFormat="false" ht="15" hidden="false" customHeight="false" outlineLevel="0" collapsed="false">
      <c r="A78" s="11" t="str">
        <f aca="false">IFERROR(IF(INDEX(Inventory!A:A,SMALL($H$5:$H$304,74))="","",INDEX(Inventory!A:A,SMALL($H$5:$H$304,74))),"")</f>
        <v/>
      </c>
      <c r="B78" s="11" t="str">
        <f aca="false">IFERROR(IF(INDEX(Inventory!B:B,SMALL($H$5:$H$304,74))="","",INDEX(Inventory!B:B,SMALL($H$5:$H$304,74))),"")</f>
        <v/>
      </c>
      <c r="C78" s="11" t="str">
        <f aca="false">IFERROR(IF(INDEX(Inventory!C:C,SMALL($H$5:$H$304,74))="","",INDEX(Inventory!C:C,SMALL($H$5:$H$304,74))),"")</f>
        <v/>
      </c>
      <c r="D78" s="11" t="str">
        <f aca="false">IFERROR(IF(INDEX(Inventory!D:D,SMALL($H$5:$H$304,74))="","",INDEX(Inventory!D:D,SMALL($H$5:$H$304,74))),"")</f>
        <v/>
      </c>
      <c r="E78" s="11" t="str">
        <f aca="false">IFERROR(IF(INDEX(Inventory!E:E,SMALL($H$5:$H$304,74))="","",INDEX(Inventory!E:E,SMALL($H$5:$H$304,74))),"")</f>
        <v/>
      </c>
      <c r="F78" s="11" t="str">
        <f aca="false">IFERROR(IF(INDEX(Inventory!F:F,SMALL($H$5:$H$304,74))="","",INDEX(Inventory!F:F,SMALL($H$5:$H$304,74))),"")</f>
        <v/>
      </c>
      <c r="G78" s="11" t="str">
        <f aca="false">IFERROR(IF(INDEX(Inventory!G:G,SMALL($H$5:$H$304,74))="","",INDEX(Inventory!G:G,SMALL($H$5:$H$304,74))),"")</f>
        <v/>
      </c>
      <c r="H78" s="1" t="str">
        <f aca="false">IF(Inventory!A76="","",IF(ISNUMBER(SEARCH($C$2,Inventory!A76)),ROW(Inventory!A76),""))</f>
        <v/>
      </c>
    </row>
    <row r="79" customFormat="false" ht="15" hidden="false" customHeight="false" outlineLevel="0" collapsed="false">
      <c r="A79" s="13" t="str">
        <f aca="false">IFERROR(IF(INDEX(Inventory!A:A,SMALL($H$5:$H$304,75))="","",INDEX(Inventory!A:A,SMALL($H$5:$H$304,75))),"")</f>
        <v/>
      </c>
      <c r="B79" s="13" t="str">
        <f aca="false">IFERROR(IF(INDEX(Inventory!B:B,SMALL($H$5:$H$304,75))="","",INDEX(Inventory!B:B,SMALL($H$5:$H$304,75))),"")</f>
        <v/>
      </c>
      <c r="C79" s="13" t="str">
        <f aca="false">IFERROR(IF(INDEX(Inventory!C:C,SMALL($H$5:$H$304,75))="","",INDEX(Inventory!C:C,SMALL($H$5:$H$304,75))),"")</f>
        <v/>
      </c>
      <c r="D79" s="13" t="str">
        <f aca="false">IFERROR(IF(INDEX(Inventory!D:D,SMALL($H$5:$H$304,75))="","",INDEX(Inventory!D:D,SMALL($H$5:$H$304,75))),"")</f>
        <v/>
      </c>
      <c r="E79" s="13" t="str">
        <f aca="false">IFERROR(IF(INDEX(Inventory!E:E,SMALL($H$5:$H$304,75))="","",INDEX(Inventory!E:E,SMALL($H$5:$H$304,75))),"")</f>
        <v/>
      </c>
      <c r="F79" s="13" t="str">
        <f aca="false">IFERROR(IF(INDEX(Inventory!F:F,SMALL($H$5:$H$304,75))="","",INDEX(Inventory!F:F,SMALL($H$5:$H$304,75))),"")</f>
        <v/>
      </c>
      <c r="G79" s="13" t="str">
        <f aca="false">IFERROR(IF(INDEX(Inventory!G:G,SMALL($H$5:$H$304,75))="","",INDEX(Inventory!G:G,SMALL($H$5:$H$304,75))),"")</f>
        <v/>
      </c>
      <c r="H79" s="1" t="str">
        <f aca="false">IF(Inventory!A77="","",IF(ISNUMBER(SEARCH($C$2,Inventory!A77)),ROW(Inventory!A77),""))</f>
        <v/>
      </c>
    </row>
    <row r="80" customFormat="false" ht="15" hidden="false" customHeight="false" outlineLevel="0" collapsed="false">
      <c r="A80" s="11" t="str">
        <f aca="false">IFERROR(IF(INDEX(Inventory!A:A,SMALL($H$5:$H$304,76))="","",INDEX(Inventory!A:A,SMALL($H$5:$H$304,76))),"")</f>
        <v/>
      </c>
      <c r="B80" s="11" t="str">
        <f aca="false">IFERROR(IF(INDEX(Inventory!B:B,SMALL($H$5:$H$304,76))="","",INDEX(Inventory!B:B,SMALL($H$5:$H$304,76))),"")</f>
        <v/>
      </c>
      <c r="C80" s="11" t="str">
        <f aca="false">IFERROR(IF(INDEX(Inventory!C:C,SMALL($H$5:$H$304,76))="","",INDEX(Inventory!C:C,SMALL($H$5:$H$304,76))),"")</f>
        <v/>
      </c>
      <c r="D80" s="11" t="str">
        <f aca="false">IFERROR(IF(INDEX(Inventory!D:D,SMALL($H$5:$H$304,76))="","",INDEX(Inventory!D:D,SMALL($H$5:$H$304,76))),"")</f>
        <v/>
      </c>
      <c r="E80" s="11" t="str">
        <f aca="false">IFERROR(IF(INDEX(Inventory!E:E,SMALL($H$5:$H$304,76))="","",INDEX(Inventory!E:E,SMALL($H$5:$H$304,76))),"")</f>
        <v/>
      </c>
      <c r="F80" s="11" t="str">
        <f aca="false">IFERROR(IF(INDEX(Inventory!F:F,SMALL($H$5:$H$304,76))="","",INDEX(Inventory!F:F,SMALL($H$5:$H$304,76))),"")</f>
        <v/>
      </c>
      <c r="G80" s="11" t="str">
        <f aca="false">IFERROR(IF(INDEX(Inventory!G:G,SMALL($H$5:$H$304,76))="","",INDEX(Inventory!G:G,SMALL($H$5:$H$304,76))),"")</f>
        <v/>
      </c>
      <c r="H80" s="1" t="str">
        <f aca="false">IF(Inventory!A78="","",IF(ISNUMBER(SEARCH($C$2,Inventory!A78)),ROW(Inventory!A78),""))</f>
        <v/>
      </c>
    </row>
    <row r="81" customFormat="false" ht="15" hidden="false" customHeight="false" outlineLevel="0" collapsed="false">
      <c r="A81" s="13" t="str">
        <f aca="false">IFERROR(IF(INDEX(Inventory!A:A,SMALL($H$5:$H$304,77))="","",INDEX(Inventory!A:A,SMALL($H$5:$H$304,77))),"")</f>
        <v/>
      </c>
      <c r="B81" s="13" t="str">
        <f aca="false">IFERROR(IF(INDEX(Inventory!B:B,SMALL($H$5:$H$304,77))="","",INDEX(Inventory!B:B,SMALL($H$5:$H$304,77))),"")</f>
        <v/>
      </c>
      <c r="C81" s="13" t="str">
        <f aca="false">IFERROR(IF(INDEX(Inventory!C:C,SMALL($H$5:$H$304,77))="","",INDEX(Inventory!C:C,SMALL($H$5:$H$304,77))),"")</f>
        <v/>
      </c>
      <c r="D81" s="13" t="str">
        <f aca="false">IFERROR(IF(INDEX(Inventory!D:D,SMALL($H$5:$H$304,77))="","",INDEX(Inventory!D:D,SMALL($H$5:$H$304,77))),"")</f>
        <v/>
      </c>
      <c r="E81" s="13" t="str">
        <f aca="false">IFERROR(IF(INDEX(Inventory!E:E,SMALL($H$5:$H$304,77))="","",INDEX(Inventory!E:E,SMALL($H$5:$H$304,77))),"")</f>
        <v/>
      </c>
      <c r="F81" s="13" t="str">
        <f aca="false">IFERROR(IF(INDEX(Inventory!F:F,SMALL($H$5:$H$304,77))="","",INDEX(Inventory!F:F,SMALL($H$5:$H$304,77))),"")</f>
        <v/>
      </c>
      <c r="G81" s="13" t="str">
        <f aca="false">IFERROR(IF(INDEX(Inventory!G:G,SMALL($H$5:$H$304,77))="","",INDEX(Inventory!G:G,SMALL($H$5:$H$304,77))),"")</f>
        <v/>
      </c>
      <c r="H81" s="1" t="str">
        <f aca="false">IF(Inventory!A79="","",IF(ISNUMBER(SEARCH($C$2,Inventory!A79)),ROW(Inventory!A79),""))</f>
        <v/>
      </c>
    </row>
    <row r="82" customFormat="false" ht="15" hidden="false" customHeight="false" outlineLevel="0" collapsed="false">
      <c r="A82" s="11" t="str">
        <f aca="false">IFERROR(IF(INDEX(Inventory!A:A,SMALL($H$5:$H$304,78))="","",INDEX(Inventory!A:A,SMALL($H$5:$H$304,78))),"")</f>
        <v/>
      </c>
      <c r="B82" s="11" t="str">
        <f aca="false">IFERROR(IF(INDEX(Inventory!B:B,SMALL($H$5:$H$304,78))="","",INDEX(Inventory!B:B,SMALL($H$5:$H$304,78))),"")</f>
        <v/>
      </c>
      <c r="C82" s="11" t="str">
        <f aca="false">IFERROR(IF(INDEX(Inventory!C:C,SMALL($H$5:$H$304,78))="","",INDEX(Inventory!C:C,SMALL($H$5:$H$304,78))),"")</f>
        <v/>
      </c>
      <c r="D82" s="11" t="str">
        <f aca="false">IFERROR(IF(INDEX(Inventory!D:D,SMALL($H$5:$H$304,78))="","",INDEX(Inventory!D:D,SMALL($H$5:$H$304,78))),"")</f>
        <v/>
      </c>
      <c r="E82" s="11" t="str">
        <f aca="false">IFERROR(IF(INDEX(Inventory!E:E,SMALL($H$5:$H$304,78))="","",INDEX(Inventory!E:E,SMALL($H$5:$H$304,78))),"")</f>
        <v/>
      </c>
      <c r="F82" s="11" t="str">
        <f aca="false">IFERROR(IF(INDEX(Inventory!F:F,SMALL($H$5:$H$304,78))="","",INDEX(Inventory!F:F,SMALL($H$5:$H$304,78))),"")</f>
        <v/>
      </c>
      <c r="G82" s="11" t="str">
        <f aca="false">IFERROR(IF(INDEX(Inventory!G:G,SMALL($H$5:$H$304,78))="","",INDEX(Inventory!G:G,SMALL($H$5:$H$304,78))),"")</f>
        <v/>
      </c>
      <c r="H82" s="1" t="str">
        <f aca="false">IF(Inventory!A80="","",IF(ISNUMBER(SEARCH($C$2,Inventory!A80)),ROW(Inventory!A80),""))</f>
        <v/>
      </c>
    </row>
    <row r="83" customFormat="false" ht="15" hidden="false" customHeight="false" outlineLevel="0" collapsed="false">
      <c r="A83" s="13" t="str">
        <f aca="false">IFERROR(IF(INDEX(Inventory!A:A,SMALL($H$5:$H$304,79))="","",INDEX(Inventory!A:A,SMALL($H$5:$H$304,79))),"")</f>
        <v/>
      </c>
      <c r="B83" s="13" t="str">
        <f aca="false">IFERROR(IF(INDEX(Inventory!B:B,SMALL($H$5:$H$304,79))="","",INDEX(Inventory!B:B,SMALL($H$5:$H$304,79))),"")</f>
        <v/>
      </c>
      <c r="C83" s="13" t="str">
        <f aca="false">IFERROR(IF(INDEX(Inventory!C:C,SMALL($H$5:$H$304,79))="","",INDEX(Inventory!C:C,SMALL($H$5:$H$304,79))),"")</f>
        <v/>
      </c>
      <c r="D83" s="13" t="str">
        <f aca="false">IFERROR(IF(INDEX(Inventory!D:D,SMALL($H$5:$H$304,79))="","",INDEX(Inventory!D:D,SMALL($H$5:$H$304,79))),"")</f>
        <v/>
      </c>
      <c r="E83" s="13" t="str">
        <f aca="false">IFERROR(IF(INDEX(Inventory!E:E,SMALL($H$5:$H$304,79))="","",INDEX(Inventory!E:E,SMALL($H$5:$H$304,79))),"")</f>
        <v/>
      </c>
      <c r="F83" s="13" t="str">
        <f aca="false">IFERROR(IF(INDEX(Inventory!F:F,SMALL($H$5:$H$304,79))="","",INDEX(Inventory!F:F,SMALL($H$5:$H$304,79))),"")</f>
        <v/>
      </c>
      <c r="G83" s="13" t="str">
        <f aca="false">IFERROR(IF(INDEX(Inventory!G:G,SMALL($H$5:$H$304,79))="","",INDEX(Inventory!G:G,SMALL($H$5:$H$304,79))),"")</f>
        <v/>
      </c>
      <c r="H83" s="1" t="str">
        <f aca="false">IF(Inventory!A81="","",IF(ISNUMBER(SEARCH($C$2,Inventory!A81)),ROW(Inventory!A81),""))</f>
        <v/>
      </c>
    </row>
    <row r="84" customFormat="false" ht="15" hidden="false" customHeight="false" outlineLevel="0" collapsed="false">
      <c r="A84" s="11" t="str">
        <f aca="false">IFERROR(IF(INDEX(Inventory!A:A,SMALL($H$5:$H$304,80))="","",INDEX(Inventory!A:A,SMALL($H$5:$H$304,80))),"")</f>
        <v/>
      </c>
      <c r="B84" s="11" t="str">
        <f aca="false">IFERROR(IF(INDEX(Inventory!B:B,SMALL($H$5:$H$304,80))="","",INDEX(Inventory!B:B,SMALL($H$5:$H$304,80))),"")</f>
        <v/>
      </c>
      <c r="C84" s="11" t="str">
        <f aca="false">IFERROR(IF(INDEX(Inventory!C:C,SMALL($H$5:$H$304,80))="","",INDEX(Inventory!C:C,SMALL($H$5:$H$304,80))),"")</f>
        <v/>
      </c>
      <c r="D84" s="11" t="str">
        <f aca="false">IFERROR(IF(INDEX(Inventory!D:D,SMALL($H$5:$H$304,80))="","",INDEX(Inventory!D:D,SMALL($H$5:$H$304,80))),"")</f>
        <v/>
      </c>
      <c r="E84" s="11" t="str">
        <f aca="false">IFERROR(IF(INDEX(Inventory!E:E,SMALL($H$5:$H$304,80))="","",INDEX(Inventory!E:E,SMALL($H$5:$H$304,80))),"")</f>
        <v/>
      </c>
      <c r="F84" s="11" t="str">
        <f aca="false">IFERROR(IF(INDEX(Inventory!F:F,SMALL($H$5:$H$304,80))="","",INDEX(Inventory!F:F,SMALL($H$5:$H$304,80))),"")</f>
        <v/>
      </c>
      <c r="G84" s="11" t="str">
        <f aca="false">IFERROR(IF(INDEX(Inventory!G:G,SMALL($H$5:$H$304,80))="","",INDEX(Inventory!G:G,SMALL($H$5:$H$304,80))),"")</f>
        <v/>
      </c>
      <c r="H84" s="1" t="str">
        <f aca="false">IF(Inventory!A82="","",IF(ISNUMBER(SEARCH($C$2,Inventory!A82)),ROW(Inventory!A82),""))</f>
        <v/>
      </c>
    </row>
    <row r="85" customFormat="false" ht="15" hidden="false" customHeight="false" outlineLevel="0" collapsed="false">
      <c r="A85" s="13" t="str">
        <f aca="false">IFERROR(IF(INDEX(Inventory!A:A,SMALL($H$5:$H$304,81))="","",INDEX(Inventory!A:A,SMALL($H$5:$H$304,81))),"")</f>
        <v/>
      </c>
      <c r="B85" s="13" t="str">
        <f aca="false">IFERROR(IF(INDEX(Inventory!B:B,SMALL($H$5:$H$304,81))="","",INDEX(Inventory!B:B,SMALL($H$5:$H$304,81))),"")</f>
        <v/>
      </c>
      <c r="C85" s="13" t="str">
        <f aca="false">IFERROR(IF(INDEX(Inventory!C:C,SMALL($H$5:$H$304,81))="","",INDEX(Inventory!C:C,SMALL($H$5:$H$304,81))),"")</f>
        <v/>
      </c>
      <c r="D85" s="13" t="str">
        <f aca="false">IFERROR(IF(INDEX(Inventory!D:D,SMALL($H$5:$H$304,81))="","",INDEX(Inventory!D:D,SMALL($H$5:$H$304,81))),"")</f>
        <v/>
      </c>
      <c r="E85" s="13" t="str">
        <f aca="false">IFERROR(IF(INDEX(Inventory!E:E,SMALL($H$5:$H$304,81))="","",INDEX(Inventory!E:E,SMALL($H$5:$H$304,81))),"")</f>
        <v/>
      </c>
      <c r="F85" s="13" t="str">
        <f aca="false">IFERROR(IF(INDEX(Inventory!F:F,SMALL($H$5:$H$304,81))="","",INDEX(Inventory!F:F,SMALL($H$5:$H$304,81))),"")</f>
        <v/>
      </c>
      <c r="G85" s="13" t="str">
        <f aca="false">IFERROR(IF(INDEX(Inventory!G:G,SMALL($H$5:$H$304,81))="","",INDEX(Inventory!G:G,SMALL($H$5:$H$304,81))),"")</f>
        <v/>
      </c>
      <c r="H85" s="1" t="str">
        <f aca="false">IF(Inventory!A83="","",IF(ISNUMBER(SEARCH($C$2,Inventory!A83)),ROW(Inventory!A83),""))</f>
        <v/>
      </c>
    </row>
    <row r="86" customFormat="false" ht="15" hidden="false" customHeight="false" outlineLevel="0" collapsed="false">
      <c r="A86" s="11" t="str">
        <f aca="false">IFERROR(IF(INDEX(Inventory!A:A,SMALL($H$5:$H$304,82))="","",INDEX(Inventory!A:A,SMALL($H$5:$H$304,82))),"")</f>
        <v/>
      </c>
      <c r="B86" s="11" t="str">
        <f aca="false">IFERROR(IF(INDEX(Inventory!B:B,SMALL($H$5:$H$304,82))="","",INDEX(Inventory!B:B,SMALL($H$5:$H$304,82))),"")</f>
        <v/>
      </c>
      <c r="C86" s="11" t="str">
        <f aca="false">IFERROR(IF(INDEX(Inventory!C:C,SMALL($H$5:$H$304,82))="","",INDEX(Inventory!C:C,SMALL($H$5:$H$304,82))),"")</f>
        <v/>
      </c>
      <c r="D86" s="11" t="str">
        <f aca="false">IFERROR(IF(INDEX(Inventory!D:D,SMALL($H$5:$H$304,82))="","",INDEX(Inventory!D:D,SMALL($H$5:$H$304,82))),"")</f>
        <v/>
      </c>
      <c r="E86" s="11" t="str">
        <f aca="false">IFERROR(IF(INDEX(Inventory!E:E,SMALL($H$5:$H$304,82))="","",INDEX(Inventory!E:E,SMALL($H$5:$H$304,82))),"")</f>
        <v/>
      </c>
      <c r="F86" s="11" t="str">
        <f aca="false">IFERROR(IF(INDEX(Inventory!F:F,SMALL($H$5:$H$304,82))="","",INDEX(Inventory!F:F,SMALL($H$5:$H$304,82))),"")</f>
        <v/>
      </c>
      <c r="G86" s="11" t="str">
        <f aca="false">IFERROR(IF(INDEX(Inventory!G:G,SMALL($H$5:$H$304,82))="","",INDEX(Inventory!G:G,SMALL($H$5:$H$304,82))),"")</f>
        <v/>
      </c>
      <c r="H86" s="1" t="str">
        <f aca="false">IF(Inventory!A84="","",IF(ISNUMBER(SEARCH($C$2,Inventory!A84)),ROW(Inventory!A84),""))</f>
        <v/>
      </c>
    </row>
    <row r="87" customFormat="false" ht="15" hidden="false" customHeight="false" outlineLevel="0" collapsed="false">
      <c r="A87" s="13" t="str">
        <f aca="false">IFERROR(IF(INDEX(Inventory!A:A,SMALL($H$5:$H$304,83))="","",INDEX(Inventory!A:A,SMALL($H$5:$H$304,83))),"")</f>
        <v/>
      </c>
      <c r="B87" s="13" t="str">
        <f aca="false">IFERROR(IF(INDEX(Inventory!B:B,SMALL($H$5:$H$304,83))="","",INDEX(Inventory!B:B,SMALL($H$5:$H$304,83))),"")</f>
        <v/>
      </c>
      <c r="C87" s="13" t="str">
        <f aca="false">IFERROR(IF(INDEX(Inventory!C:C,SMALL($H$5:$H$304,83))="","",INDEX(Inventory!C:C,SMALL($H$5:$H$304,83))),"")</f>
        <v/>
      </c>
      <c r="D87" s="13" t="str">
        <f aca="false">IFERROR(IF(INDEX(Inventory!D:D,SMALL($H$5:$H$304,83))="","",INDEX(Inventory!D:D,SMALL($H$5:$H$304,83))),"")</f>
        <v/>
      </c>
      <c r="E87" s="13" t="str">
        <f aca="false">IFERROR(IF(INDEX(Inventory!E:E,SMALL($H$5:$H$304,83))="","",INDEX(Inventory!E:E,SMALL($H$5:$H$304,83))),"")</f>
        <v/>
      </c>
      <c r="F87" s="13" t="str">
        <f aca="false">IFERROR(IF(INDEX(Inventory!F:F,SMALL($H$5:$H$304,83))="","",INDEX(Inventory!F:F,SMALL($H$5:$H$304,83))),"")</f>
        <v/>
      </c>
      <c r="G87" s="13" t="str">
        <f aca="false">IFERROR(IF(INDEX(Inventory!G:G,SMALL($H$5:$H$304,83))="","",INDEX(Inventory!G:G,SMALL($H$5:$H$304,83))),"")</f>
        <v/>
      </c>
      <c r="H87" s="1" t="str">
        <f aca="false">IF(Inventory!A85="","",IF(ISNUMBER(SEARCH($C$2,Inventory!A85)),ROW(Inventory!A85),""))</f>
        <v/>
      </c>
    </row>
    <row r="88" customFormat="false" ht="15" hidden="false" customHeight="false" outlineLevel="0" collapsed="false">
      <c r="A88" s="11" t="str">
        <f aca="false">IFERROR(IF(INDEX(Inventory!A:A,SMALL($H$5:$H$304,84))="","",INDEX(Inventory!A:A,SMALL($H$5:$H$304,84))),"")</f>
        <v/>
      </c>
      <c r="B88" s="11" t="str">
        <f aca="false">IFERROR(IF(INDEX(Inventory!B:B,SMALL($H$5:$H$304,84))="","",INDEX(Inventory!B:B,SMALL($H$5:$H$304,84))),"")</f>
        <v/>
      </c>
      <c r="C88" s="11" t="str">
        <f aca="false">IFERROR(IF(INDEX(Inventory!C:C,SMALL($H$5:$H$304,84))="","",INDEX(Inventory!C:C,SMALL($H$5:$H$304,84))),"")</f>
        <v/>
      </c>
      <c r="D88" s="11" t="str">
        <f aca="false">IFERROR(IF(INDEX(Inventory!D:D,SMALL($H$5:$H$304,84))="","",INDEX(Inventory!D:D,SMALL($H$5:$H$304,84))),"")</f>
        <v/>
      </c>
      <c r="E88" s="11" t="str">
        <f aca="false">IFERROR(IF(INDEX(Inventory!E:E,SMALL($H$5:$H$304,84))="","",INDEX(Inventory!E:E,SMALL($H$5:$H$304,84))),"")</f>
        <v/>
      </c>
      <c r="F88" s="11" t="str">
        <f aca="false">IFERROR(IF(INDEX(Inventory!F:F,SMALL($H$5:$H$304,84))="","",INDEX(Inventory!F:F,SMALL($H$5:$H$304,84))),"")</f>
        <v/>
      </c>
      <c r="G88" s="11" t="str">
        <f aca="false">IFERROR(IF(INDEX(Inventory!G:G,SMALL($H$5:$H$304,84))="","",INDEX(Inventory!G:G,SMALL($H$5:$H$304,84))),"")</f>
        <v/>
      </c>
      <c r="H88" s="1" t="str">
        <f aca="false">IF(Inventory!A86="","",IF(ISNUMBER(SEARCH($C$2,Inventory!A86)),ROW(Inventory!A86),""))</f>
        <v/>
      </c>
    </row>
    <row r="89" customFormat="false" ht="15" hidden="false" customHeight="false" outlineLevel="0" collapsed="false">
      <c r="A89" s="13" t="str">
        <f aca="false">IFERROR(IF(INDEX(Inventory!A:A,SMALL($H$5:$H$304,85))="","",INDEX(Inventory!A:A,SMALL($H$5:$H$304,85))),"")</f>
        <v/>
      </c>
      <c r="B89" s="13" t="str">
        <f aca="false">IFERROR(IF(INDEX(Inventory!B:B,SMALL($H$5:$H$304,85))="","",INDEX(Inventory!B:B,SMALL($H$5:$H$304,85))),"")</f>
        <v/>
      </c>
      <c r="C89" s="13" t="str">
        <f aca="false">IFERROR(IF(INDEX(Inventory!C:C,SMALL($H$5:$H$304,85))="","",INDEX(Inventory!C:C,SMALL($H$5:$H$304,85))),"")</f>
        <v/>
      </c>
      <c r="D89" s="13" t="str">
        <f aca="false">IFERROR(IF(INDEX(Inventory!D:D,SMALL($H$5:$H$304,85))="","",INDEX(Inventory!D:D,SMALL($H$5:$H$304,85))),"")</f>
        <v/>
      </c>
      <c r="E89" s="13" t="str">
        <f aca="false">IFERROR(IF(INDEX(Inventory!E:E,SMALL($H$5:$H$304,85))="","",INDEX(Inventory!E:E,SMALL($H$5:$H$304,85))),"")</f>
        <v/>
      </c>
      <c r="F89" s="13" t="str">
        <f aca="false">IFERROR(IF(INDEX(Inventory!F:F,SMALL($H$5:$H$304,85))="","",INDEX(Inventory!F:F,SMALL($H$5:$H$304,85))),"")</f>
        <v/>
      </c>
      <c r="G89" s="13" t="str">
        <f aca="false">IFERROR(IF(INDEX(Inventory!G:G,SMALL($H$5:$H$304,85))="","",INDEX(Inventory!G:G,SMALL($H$5:$H$304,85))),"")</f>
        <v/>
      </c>
      <c r="H89" s="1" t="str">
        <f aca="false">IF(Inventory!A87="","",IF(ISNUMBER(SEARCH($C$2,Inventory!A87)),ROW(Inventory!A87),""))</f>
        <v/>
      </c>
    </row>
    <row r="90" customFormat="false" ht="15" hidden="false" customHeight="false" outlineLevel="0" collapsed="false">
      <c r="A90" s="11" t="str">
        <f aca="false">IFERROR(IF(INDEX(Inventory!A:A,SMALL($H$5:$H$304,86))="","",INDEX(Inventory!A:A,SMALL($H$5:$H$304,86))),"")</f>
        <v/>
      </c>
      <c r="B90" s="11" t="str">
        <f aca="false">IFERROR(IF(INDEX(Inventory!B:B,SMALL($H$5:$H$304,86))="","",INDEX(Inventory!B:B,SMALL($H$5:$H$304,86))),"")</f>
        <v/>
      </c>
      <c r="C90" s="11" t="str">
        <f aca="false">IFERROR(IF(INDEX(Inventory!C:C,SMALL($H$5:$H$304,86))="","",INDEX(Inventory!C:C,SMALL($H$5:$H$304,86))),"")</f>
        <v/>
      </c>
      <c r="D90" s="11" t="str">
        <f aca="false">IFERROR(IF(INDEX(Inventory!D:D,SMALL($H$5:$H$304,86))="","",INDEX(Inventory!D:D,SMALL($H$5:$H$304,86))),"")</f>
        <v/>
      </c>
      <c r="E90" s="11" t="str">
        <f aca="false">IFERROR(IF(INDEX(Inventory!E:E,SMALL($H$5:$H$304,86))="","",INDEX(Inventory!E:E,SMALL($H$5:$H$304,86))),"")</f>
        <v/>
      </c>
      <c r="F90" s="11" t="str">
        <f aca="false">IFERROR(IF(INDEX(Inventory!F:F,SMALL($H$5:$H$304,86))="","",INDEX(Inventory!F:F,SMALL($H$5:$H$304,86))),"")</f>
        <v/>
      </c>
      <c r="G90" s="11" t="str">
        <f aca="false">IFERROR(IF(INDEX(Inventory!G:G,SMALL($H$5:$H$304,86))="","",INDEX(Inventory!G:G,SMALL($H$5:$H$304,86))),"")</f>
        <v/>
      </c>
      <c r="H90" s="1" t="str">
        <f aca="false">IF(Inventory!A88="","",IF(ISNUMBER(SEARCH($C$2,Inventory!A88)),ROW(Inventory!A88),""))</f>
        <v/>
      </c>
    </row>
    <row r="91" customFormat="false" ht="15" hidden="false" customHeight="false" outlineLevel="0" collapsed="false">
      <c r="A91" s="13" t="str">
        <f aca="false">IFERROR(IF(INDEX(Inventory!A:A,SMALL($H$5:$H$304,87))="","",INDEX(Inventory!A:A,SMALL($H$5:$H$304,87))),"")</f>
        <v/>
      </c>
      <c r="B91" s="13" t="str">
        <f aca="false">IFERROR(IF(INDEX(Inventory!B:B,SMALL($H$5:$H$304,87))="","",INDEX(Inventory!B:B,SMALL($H$5:$H$304,87))),"")</f>
        <v/>
      </c>
      <c r="C91" s="13" t="str">
        <f aca="false">IFERROR(IF(INDEX(Inventory!C:C,SMALL($H$5:$H$304,87))="","",INDEX(Inventory!C:C,SMALL($H$5:$H$304,87))),"")</f>
        <v/>
      </c>
      <c r="D91" s="13" t="str">
        <f aca="false">IFERROR(IF(INDEX(Inventory!D:D,SMALL($H$5:$H$304,87))="","",INDEX(Inventory!D:D,SMALL($H$5:$H$304,87))),"")</f>
        <v/>
      </c>
      <c r="E91" s="13" t="str">
        <f aca="false">IFERROR(IF(INDEX(Inventory!E:E,SMALL($H$5:$H$304,87))="","",INDEX(Inventory!E:E,SMALL($H$5:$H$304,87))),"")</f>
        <v/>
      </c>
      <c r="F91" s="13" t="str">
        <f aca="false">IFERROR(IF(INDEX(Inventory!F:F,SMALL($H$5:$H$304,87))="","",INDEX(Inventory!F:F,SMALL($H$5:$H$304,87))),"")</f>
        <v/>
      </c>
      <c r="G91" s="13" t="str">
        <f aca="false">IFERROR(IF(INDEX(Inventory!G:G,SMALL($H$5:$H$304,87))="","",INDEX(Inventory!G:G,SMALL($H$5:$H$304,87))),"")</f>
        <v/>
      </c>
      <c r="H91" s="1" t="str">
        <f aca="false">IF(Inventory!A89="","",IF(ISNUMBER(SEARCH($C$2,Inventory!A89)),ROW(Inventory!A89),""))</f>
        <v/>
      </c>
    </row>
    <row r="92" customFormat="false" ht="15" hidden="false" customHeight="false" outlineLevel="0" collapsed="false">
      <c r="A92" s="11" t="str">
        <f aca="false">IFERROR(IF(INDEX(Inventory!A:A,SMALL($H$5:$H$304,88))="","",INDEX(Inventory!A:A,SMALL($H$5:$H$304,88))),"")</f>
        <v/>
      </c>
      <c r="B92" s="11" t="str">
        <f aca="false">IFERROR(IF(INDEX(Inventory!B:B,SMALL($H$5:$H$304,88))="","",INDEX(Inventory!B:B,SMALL($H$5:$H$304,88))),"")</f>
        <v/>
      </c>
      <c r="C92" s="11" t="str">
        <f aca="false">IFERROR(IF(INDEX(Inventory!C:C,SMALL($H$5:$H$304,88))="","",INDEX(Inventory!C:C,SMALL($H$5:$H$304,88))),"")</f>
        <v/>
      </c>
      <c r="D92" s="11" t="str">
        <f aca="false">IFERROR(IF(INDEX(Inventory!D:D,SMALL($H$5:$H$304,88))="","",INDEX(Inventory!D:D,SMALL($H$5:$H$304,88))),"")</f>
        <v/>
      </c>
      <c r="E92" s="11" t="str">
        <f aca="false">IFERROR(IF(INDEX(Inventory!E:E,SMALL($H$5:$H$304,88))="","",INDEX(Inventory!E:E,SMALL($H$5:$H$304,88))),"")</f>
        <v/>
      </c>
      <c r="F92" s="11" t="str">
        <f aca="false">IFERROR(IF(INDEX(Inventory!F:F,SMALL($H$5:$H$304,88))="","",INDEX(Inventory!F:F,SMALL($H$5:$H$304,88))),"")</f>
        <v/>
      </c>
      <c r="G92" s="11" t="str">
        <f aca="false">IFERROR(IF(INDEX(Inventory!G:G,SMALL($H$5:$H$304,88))="","",INDEX(Inventory!G:G,SMALL($H$5:$H$304,88))),"")</f>
        <v/>
      </c>
      <c r="H92" s="1" t="str">
        <f aca="false">IF(Inventory!A90="","",IF(ISNUMBER(SEARCH($C$2,Inventory!A90)),ROW(Inventory!A90),""))</f>
        <v/>
      </c>
    </row>
    <row r="93" customFormat="false" ht="15" hidden="false" customHeight="false" outlineLevel="0" collapsed="false">
      <c r="A93" s="13" t="str">
        <f aca="false">IFERROR(IF(INDEX(Inventory!A:A,SMALL($H$5:$H$304,89))="","",INDEX(Inventory!A:A,SMALL($H$5:$H$304,89))),"")</f>
        <v/>
      </c>
      <c r="B93" s="13" t="str">
        <f aca="false">IFERROR(IF(INDEX(Inventory!B:B,SMALL($H$5:$H$304,89))="","",INDEX(Inventory!B:B,SMALL($H$5:$H$304,89))),"")</f>
        <v/>
      </c>
      <c r="C93" s="13" t="str">
        <f aca="false">IFERROR(IF(INDEX(Inventory!C:C,SMALL($H$5:$H$304,89))="","",INDEX(Inventory!C:C,SMALL($H$5:$H$304,89))),"")</f>
        <v/>
      </c>
      <c r="D93" s="13" t="str">
        <f aca="false">IFERROR(IF(INDEX(Inventory!D:D,SMALL($H$5:$H$304,89))="","",INDEX(Inventory!D:D,SMALL($H$5:$H$304,89))),"")</f>
        <v/>
      </c>
      <c r="E93" s="13" t="str">
        <f aca="false">IFERROR(IF(INDEX(Inventory!E:E,SMALL($H$5:$H$304,89))="","",INDEX(Inventory!E:E,SMALL($H$5:$H$304,89))),"")</f>
        <v/>
      </c>
      <c r="F93" s="13" t="str">
        <f aca="false">IFERROR(IF(INDEX(Inventory!F:F,SMALL($H$5:$H$304,89))="","",INDEX(Inventory!F:F,SMALL($H$5:$H$304,89))),"")</f>
        <v/>
      </c>
      <c r="G93" s="13" t="str">
        <f aca="false">IFERROR(IF(INDEX(Inventory!G:G,SMALL($H$5:$H$304,89))="","",INDEX(Inventory!G:G,SMALL($H$5:$H$304,89))),"")</f>
        <v/>
      </c>
      <c r="H93" s="1" t="str">
        <f aca="false">IF(Inventory!A91="","",IF(ISNUMBER(SEARCH($C$2,Inventory!A91)),ROW(Inventory!A91),""))</f>
        <v/>
      </c>
    </row>
    <row r="94" customFormat="false" ht="15" hidden="false" customHeight="false" outlineLevel="0" collapsed="false">
      <c r="A94" s="11" t="str">
        <f aca="false">IFERROR(IF(INDEX(Inventory!A:A,SMALL($H$5:$H$304,90))="","",INDEX(Inventory!A:A,SMALL($H$5:$H$304,90))),"")</f>
        <v/>
      </c>
      <c r="B94" s="11" t="str">
        <f aca="false">IFERROR(IF(INDEX(Inventory!B:B,SMALL($H$5:$H$304,90))="","",INDEX(Inventory!B:B,SMALL($H$5:$H$304,90))),"")</f>
        <v/>
      </c>
      <c r="C94" s="11" t="str">
        <f aca="false">IFERROR(IF(INDEX(Inventory!C:C,SMALL($H$5:$H$304,90))="","",INDEX(Inventory!C:C,SMALL($H$5:$H$304,90))),"")</f>
        <v/>
      </c>
      <c r="D94" s="11" t="str">
        <f aca="false">IFERROR(IF(INDEX(Inventory!D:D,SMALL($H$5:$H$304,90))="","",INDEX(Inventory!D:D,SMALL($H$5:$H$304,90))),"")</f>
        <v/>
      </c>
      <c r="E94" s="11" t="str">
        <f aca="false">IFERROR(IF(INDEX(Inventory!E:E,SMALL($H$5:$H$304,90))="","",INDEX(Inventory!E:E,SMALL($H$5:$H$304,90))),"")</f>
        <v/>
      </c>
      <c r="F94" s="11" t="str">
        <f aca="false">IFERROR(IF(INDEX(Inventory!F:F,SMALL($H$5:$H$304,90))="","",INDEX(Inventory!F:F,SMALL($H$5:$H$304,90))),"")</f>
        <v/>
      </c>
      <c r="G94" s="11" t="str">
        <f aca="false">IFERROR(IF(INDEX(Inventory!G:G,SMALL($H$5:$H$304,90))="","",INDEX(Inventory!G:G,SMALL($H$5:$H$304,90))),"")</f>
        <v/>
      </c>
      <c r="H94" s="1" t="str">
        <f aca="false">IF(Inventory!A92="","",IF(ISNUMBER(SEARCH($C$2,Inventory!A92)),ROW(Inventory!A92),""))</f>
        <v/>
      </c>
    </row>
    <row r="95" customFormat="false" ht="15" hidden="false" customHeight="false" outlineLevel="0" collapsed="false">
      <c r="A95" s="13" t="str">
        <f aca="false">IFERROR(IF(INDEX(Inventory!A:A,SMALL($H$5:$H$304,91))="","",INDEX(Inventory!A:A,SMALL($H$5:$H$304,91))),"")</f>
        <v/>
      </c>
      <c r="B95" s="13" t="str">
        <f aca="false">IFERROR(IF(INDEX(Inventory!B:B,SMALL($H$5:$H$304,91))="","",INDEX(Inventory!B:B,SMALL($H$5:$H$304,91))),"")</f>
        <v/>
      </c>
      <c r="C95" s="13" t="str">
        <f aca="false">IFERROR(IF(INDEX(Inventory!C:C,SMALL($H$5:$H$304,91))="","",INDEX(Inventory!C:C,SMALL($H$5:$H$304,91))),"")</f>
        <v/>
      </c>
      <c r="D95" s="13" t="str">
        <f aca="false">IFERROR(IF(INDEX(Inventory!D:D,SMALL($H$5:$H$304,91))="","",INDEX(Inventory!D:D,SMALL($H$5:$H$304,91))),"")</f>
        <v/>
      </c>
      <c r="E95" s="13" t="str">
        <f aca="false">IFERROR(IF(INDEX(Inventory!E:E,SMALL($H$5:$H$304,91))="","",INDEX(Inventory!E:E,SMALL($H$5:$H$304,91))),"")</f>
        <v/>
      </c>
      <c r="F95" s="13" t="str">
        <f aca="false">IFERROR(IF(INDEX(Inventory!F:F,SMALL($H$5:$H$304,91))="","",INDEX(Inventory!F:F,SMALL($H$5:$H$304,91))),"")</f>
        <v/>
      </c>
      <c r="G95" s="13" t="str">
        <f aca="false">IFERROR(IF(INDEX(Inventory!G:G,SMALL($H$5:$H$304,91))="","",INDEX(Inventory!G:G,SMALL($H$5:$H$304,91))),"")</f>
        <v/>
      </c>
      <c r="H95" s="1" t="str">
        <f aca="false">IF(Inventory!A93="","",IF(ISNUMBER(SEARCH($C$2,Inventory!A93)),ROW(Inventory!A93),""))</f>
        <v/>
      </c>
    </row>
    <row r="96" customFormat="false" ht="15" hidden="false" customHeight="false" outlineLevel="0" collapsed="false">
      <c r="A96" s="11" t="str">
        <f aca="false">IFERROR(IF(INDEX(Inventory!A:A,SMALL($H$5:$H$304,92))="","",INDEX(Inventory!A:A,SMALL($H$5:$H$304,92))),"")</f>
        <v/>
      </c>
      <c r="B96" s="11" t="str">
        <f aca="false">IFERROR(IF(INDEX(Inventory!B:B,SMALL($H$5:$H$304,92))="","",INDEX(Inventory!B:B,SMALL($H$5:$H$304,92))),"")</f>
        <v/>
      </c>
      <c r="C96" s="11" t="str">
        <f aca="false">IFERROR(IF(INDEX(Inventory!C:C,SMALL($H$5:$H$304,92))="","",INDEX(Inventory!C:C,SMALL($H$5:$H$304,92))),"")</f>
        <v/>
      </c>
      <c r="D96" s="11" t="str">
        <f aca="false">IFERROR(IF(INDEX(Inventory!D:D,SMALL($H$5:$H$304,92))="","",INDEX(Inventory!D:D,SMALL($H$5:$H$304,92))),"")</f>
        <v/>
      </c>
      <c r="E96" s="11" t="str">
        <f aca="false">IFERROR(IF(INDEX(Inventory!E:E,SMALL($H$5:$H$304,92))="","",INDEX(Inventory!E:E,SMALL($H$5:$H$304,92))),"")</f>
        <v/>
      </c>
      <c r="F96" s="11" t="str">
        <f aca="false">IFERROR(IF(INDEX(Inventory!F:F,SMALL($H$5:$H$304,92))="","",INDEX(Inventory!F:F,SMALL($H$5:$H$304,92))),"")</f>
        <v/>
      </c>
      <c r="G96" s="11" t="str">
        <f aca="false">IFERROR(IF(INDEX(Inventory!G:G,SMALL($H$5:$H$304,92))="","",INDEX(Inventory!G:G,SMALL($H$5:$H$304,92))),"")</f>
        <v/>
      </c>
      <c r="H96" s="1" t="str">
        <f aca="false">IF(Inventory!A94="","",IF(ISNUMBER(SEARCH($C$2,Inventory!A94)),ROW(Inventory!A94),""))</f>
        <v/>
      </c>
    </row>
    <row r="97" customFormat="false" ht="15" hidden="false" customHeight="false" outlineLevel="0" collapsed="false">
      <c r="A97" s="13" t="str">
        <f aca="false">IFERROR(IF(INDEX(Inventory!A:A,SMALL($H$5:$H$304,93))="","",INDEX(Inventory!A:A,SMALL($H$5:$H$304,93))),"")</f>
        <v/>
      </c>
      <c r="B97" s="13" t="str">
        <f aca="false">IFERROR(IF(INDEX(Inventory!B:B,SMALL($H$5:$H$304,93))="","",INDEX(Inventory!B:B,SMALL($H$5:$H$304,93))),"")</f>
        <v/>
      </c>
      <c r="C97" s="13" t="str">
        <f aca="false">IFERROR(IF(INDEX(Inventory!C:C,SMALL($H$5:$H$304,93))="","",INDEX(Inventory!C:C,SMALL($H$5:$H$304,93))),"")</f>
        <v/>
      </c>
      <c r="D97" s="13" t="str">
        <f aca="false">IFERROR(IF(INDEX(Inventory!D:D,SMALL($H$5:$H$304,93))="","",INDEX(Inventory!D:D,SMALL($H$5:$H$304,93))),"")</f>
        <v/>
      </c>
      <c r="E97" s="13" t="str">
        <f aca="false">IFERROR(IF(INDEX(Inventory!E:E,SMALL($H$5:$H$304,93))="","",INDEX(Inventory!E:E,SMALL($H$5:$H$304,93))),"")</f>
        <v/>
      </c>
      <c r="F97" s="13" t="str">
        <f aca="false">IFERROR(IF(INDEX(Inventory!F:F,SMALL($H$5:$H$304,93))="","",INDEX(Inventory!F:F,SMALL($H$5:$H$304,93))),"")</f>
        <v/>
      </c>
      <c r="G97" s="13" t="str">
        <f aca="false">IFERROR(IF(INDEX(Inventory!G:G,SMALL($H$5:$H$304,93))="","",INDEX(Inventory!G:G,SMALL($H$5:$H$304,93))),"")</f>
        <v/>
      </c>
      <c r="H97" s="1" t="str">
        <f aca="false">IF(Inventory!A95="","",IF(ISNUMBER(SEARCH($C$2,Inventory!A95)),ROW(Inventory!A95),""))</f>
        <v/>
      </c>
    </row>
    <row r="98" customFormat="false" ht="15" hidden="false" customHeight="false" outlineLevel="0" collapsed="false">
      <c r="A98" s="11" t="str">
        <f aca="false">IFERROR(IF(INDEX(Inventory!A:A,SMALL($H$5:$H$304,94))="","",INDEX(Inventory!A:A,SMALL($H$5:$H$304,94))),"")</f>
        <v/>
      </c>
      <c r="B98" s="11" t="str">
        <f aca="false">IFERROR(IF(INDEX(Inventory!B:B,SMALL($H$5:$H$304,94))="","",INDEX(Inventory!B:B,SMALL($H$5:$H$304,94))),"")</f>
        <v/>
      </c>
      <c r="C98" s="11" t="str">
        <f aca="false">IFERROR(IF(INDEX(Inventory!C:C,SMALL($H$5:$H$304,94))="","",INDEX(Inventory!C:C,SMALL($H$5:$H$304,94))),"")</f>
        <v/>
      </c>
      <c r="D98" s="11" t="str">
        <f aca="false">IFERROR(IF(INDEX(Inventory!D:D,SMALL($H$5:$H$304,94))="","",INDEX(Inventory!D:D,SMALL($H$5:$H$304,94))),"")</f>
        <v/>
      </c>
      <c r="E98" s="11" t="str">
        <f aca="false">IFERROR(IF(INDEX(Inventory!E:E,SMALL($H$5:$H$304,94))="","",INDEX(Inventory!E:E,SMALL($H$5:$H$304,94))),"")</f>
        <v/>
      </c>
      <c r="F98" s="11" t="str">
        <f aca="false">IFERROR(IF(INDEX(Inventory!F:F,SMALL($H$5:$H$304,94))="","",INDEX(Inventory!F:F,SMALL($H$5:$H$304,94))),"")</f>
        <v/>
      </c>
      <c r="G98" s="11" t="str">
        <f aca="false">IFERROR(IF(INDEX(Inventory!G:G,SMALL($H$5:$H$304,94))="","",INDEX(Inventory!G:G,SMALL($H$5:$H$304,94))),"")</f>
        <v/>
      </c>
      <c r="H98" s="1" t="str">
        <f aca="false">IF(Inventory!A96="","",IF(ISNUMBER(SEARCH($C$2,Inventory!A96)),ROW(Inventory!A96),""))</f>
        <v/>
      </c>
    </row>
    <row r="99" customFormat="false" ht="15" hidden="false" customHeight="false" outlineLevel="0" collapsed="false">
      <c r="A99" s="13" t="str">
        <f aca="false">IFERROR(IF(INDEX(Inventory!A:A,SMALL($H$5:$H$304,95))="","",INDEX(Inventory!A:A,SMALL($H$5:$H$304,95))),"")</f>
        <v/>
      </c>
      <c r="B99" s="13" t="str">
        <f aca="false">IFERROR(IF(INDEX(Inventory!B:B,SMALL($H$5:$H$304,95))="","",INDEX(Inventory!B:B,SMALL($H$5:$H$304,95))),"")</f>
        <v/>
      </c>
      <c r="C99" s="13" t="str">
        <f aca="false">IFERROR(IF(INDEX(Inventory!C:C,SMALL($H$5:$H$304,95))="","",INDEX(Inventory!C:C,SMALL($H$5:$H$304,95))),"")</f>
        <v/>
      </c>
      <c r="D99" s="13" t="str">
        <f aca="false">IFERROR(IF(INDEX(Inventory!D:D,SMALL($H$5:$H$304,95))="","",INDEX(Inventory!D:D,SMALL($H$5:$H$304,95))),"")</f>
        <v/>
      </c>
      <c r="E99" s="13" t="str">
        <f aca="false">IFERROR(IF(INDEX(Inventory!E:E,SMALL($H$5:$H$304,95))="","",INDEX(Inventory!E:E,SMALL($H$5:$H$304,95))),"")</f>
        <v/>
      </c>
      <c r="F99" s="13" t="str">
        <f aca="false">IFERROR(IF(INDEX(Inventory!F:F,SMALL($H$5:$H$304,95))="","",INDEX(Inventory!F:F,SMALL($H$5:$H$304,95))),"")</f>
        <v/>
      </c>
      <c r="G99" s="13" t="str">
        <f aca="false">IFERROR(IF(INDEX(Inventory!G:G,SMALL($H$5:$H$304,95))="","",INDEX(Inventory!G:G,SMALL($H$5:$H$304,95))),"")</f>
        <v/>
      </c>
      <c r="H99" s="1" t="str">
        <f aca="false">IF(Inventory!A97="","",IF(ISNUMBER(SEARCH($C$2,Inventory!A97)),ROW(Inventory!A97),""))</f>
        <v/>
      </c>
    </row>
    <row r="100" customFormat="false" ht="15" hidden="false" customHeight="false" outlineLevel="0" collapsed="false">
      <c r="A100" s="11" t="str">
        <f aca="false">IFERROR(IF(INDEX(Inventory!A:A,SMALL($H$5:$H$304,96))="","",INDEX(Inventory!A:A,SMALL($H$5:$H$304,96))),"")</f>
        <v/>
      </c>
      <c r="B100" s="11" t="str">
        <f aca="false">IFERROR(IF(INDEX(Inventory!B:B,SMALL($H$5:$H$304,96))="","",INDEX(Inventory!B:B,SMALL($H$5:$H$304,96))),"")</f>
        <v/>
      </c>
      <c r="C100" s="11" t="str">
        <f aca="false">IFERROR(IF(INDEX(Inventory!C:C,SMALL($H$5:$H$304,96))="","",INDEX(Inventory!C:C,SMALL($H$5:$H$304,96))),"")</f>
        <v/>
      </c>
      <c r="D100" s="11" t="str">
        <f aca="false">IFERROR(IF(INDEX(Inventory!D:D,SMALL($H$5:$H$304,96))="","",INDEX(Inventory!D:D,SMALL($H$5:$H$304,96))),"")</f>
        <v/>
      </c>
      <c r="E100" s="11" t="str">
        <f aca="false">IFERROR(IF(INDEX(Inventory!E:E,SMALL($H$5:$H$304,96))="","",INDEX(Inventory!E:E,SMALL($H$5:$H$304,96))),"")</f>
        <v/>
      </c>
      <c r="F100" s="11" t="str">
        <f aca="false">IFERROR(IF(INDEX(Inventory!F:F,SMALL($H$5:$H$304,96))="","",INDEX(Inventory!F:F,SMALL($H$5:$H$304,96))),"")</f>
        <v/>
      </c>
      <c r="G100" s="11" t="str">
        <f aca="false">IFERROR(IF(INDEX(Inventory!G:G,SMALL($H$5:$H$304,96))="","",INDEX(Inventory!G:G,SMALL($H$5:$H$304,96))),"")</f>
        <v/>
      </c>
      <c r="H100" s="1" t="str">
        <f aca="false">IF(Inventory!A98="","",IF(ISNUMBER(SEARCH($C$2,Inventory!A98)),ROW(Inventory!A98),""))</f>
        <v/>
      </c>
    </row>
    <row r="101" customFormat="false" ht="15" hidden="false" customHeight="false" outlineLevel="0" collapsed="false">
      <c r="A101" s="13" t="str">
        <f aca="false">IFERROR(IF(INDEX(Inventory!A:A,SMALL($H$5:$H$304,97))="","",INDEX(Inventory!A:A,SMALL($H$5:$H$304,97))),"")</f>
        <v/>
      </c>
      <c r="B101" s="13" t="str">
        <f aca="false">IFERROR(IF(INDEX(Inventory!B:B,SMALL($H$5:$H$304,97))="","",INDEX(Inventory!B:B,SMALL($H$5:$H$304,97))),"")</f>
        <v/>
      </c>
      <c r="C101" s="13" t="str">
        <f aca="false">IFERROR(IF(INDEX(Inventory!C:C,SMALL($H$5:$H$304,97))="","",INDEX(Inventory!C:C,SMALL($H$5:$H$304,97))),"")</f>
        <v/>
      </c>
      <c r="D101" s="13" t="str">
        <f aca="false">IFERROR(IF(INDEX(Inventory!D:D,SMALL($H$5:$H$304,97))="","",INDEX(Inventory!D:D,SMALL($H$5:$H$304,97))),"")</f>
        <v/>
      </c>
      <c r="E101" s="13" t="str">
        <f aca="false">IFERROR(IF(INDEX(Inventory!E:E,SMALL($H$5:$H$304,97))="","",INDEX(Inventory!E:E,SMALL($H$5:$H$304,97))),"")</f>
        <v/>
      </c>
      <c r="F101" s="13" t="str">
        <f aca="false">IFERROR(IF(INDEX(Inventory!F:F,SMALL($H$5:$H$304,97))="","",INDEX(Inventory!F:F,SMALL($H$5:$H$304,97))),"")</f>
        <v/>
      </c>
      <c r="G101" s="13" t="str">
        <f aca="false">IFERROR(IF(INDEX(Inventory!G:G,SMALL($H$5:$H$304,97))="","",INDEX(Inventory!G:G,SMALL($H$5:$H$304,97))),"")</f>
        <v/>
      </c>
      <c r="H101" s="1" t="str">
        <f aca="false">IF(Inventory!A99="","",IF(ISNUMBER(SEARCH($C$2,Inventory!A99)),ROW(Inventory!A99),""))</f>
        <v/>
      </c>
    </row>
    <row r="102" customFormat="false" ht="15" hidden="false" customHeight="false" outlineLevel="0" collapsed="false">
      <c r="A102" s="11" t="str">
        <f aca="false">IFERROR(IF(INDEX(Inventory!A:A,SMALL($H$5:$H$304,98))="","",INDEX(Inventory!A:A,SMALL($H$5:$H$304,98))),"")</f>
        <v/>
      </c>
      <c r="B102" s="11" t="str">
        <f aca="false">IFERROR(IF(INDEX(Inventory!B:B,SMALL($H$5:$H$304,98))="","",INDEX(Inventory!B:B,SMALL($H$5:$H$304,98))),"")</f>
        <v/>
      </c>
      <c r="C102" s="11" t="str">
        <f aca="false">IFERROR(IF(INDEX(Inventory!C:C,SMALL($H$5:$H$304,98))="","",INDEX(Inventory!C:C,SMALL($H$5:$H$304,98))),"")</f>
        <v/>
      </c>
      <c r="D102" s="11" t="str">
        <f aca="false">IFERROR(IF(INDEX(Inventory!D:D,SMALL($H$5:$H$304,98))="","",INDEX(Inventory!D:D,SMALL($H$5:$H$304,98))),"")</f>
        <v/>
      </c>
      <c r="E102" s="11" t="str">
        <f aca="false">IFERROR(IF(INDEX(Inventory!E:E,SMALL($H$5:$H$304,98))="","",INDEX(Inventory!E:E,SMALL($H$5:$H$304,98))),"")</f>
        <v/>
      </c>
      <c r="F102" s="11" t="str">
        <f aca="false">IFERROR(IF(INDEX(Inventory!F:F,SMALL($H$5:$H$304,98))="","",INDEX(Inventory!F:F,SMALL($H$5:$H$304,98))),"")</f>
        <v/>
      </c>
      <c r="G102" s="11" t="str">
        <f aca="false">IFERROR(IF(INDEX(Inventory!G:G,SMALL($H$5:$H$304,98))="","",INDEX(Inventory!G:G,SMALL($H$5:$H$304,98))),"")</f>
        <v/>
      </c>
      <c r="H102" s="1" t="str">
        <f aca="false">IF(Inventory!A100="","",IF(ISNUMBER(SEARCH($C$2,Inventory!A100)),ROW(Inventory!A100),""))</f>
        <v/>
      </c>
    </row>
    <row r="103" customFormat="false" ht="15" hidden="false" customHeight="false" outlineLevel="0" collapsed="false">
      <c r="A103" s="13" t="str">
        <f aca="false">IFERROR(IF(INDEX(Inventory!A:A,SMALL($H$5:$H$304,99))="","",INDEX(Inventory!A:A,SMALL($H$5:$H$304,99))),"")</f>
        <v/>
      </c>
      <c r="B103" s="13" t="str">
        <f aca="false">IFERROR(IF(INDEX(Inventory!B:B,SMALL($H$5:$H$304,99))="","",INDEX(Inventory!B:B,SMALL($H$5:$H$304,99))),"")</f>
        <v/>
      </c>
      <c r="C103" s="13" t="str">
        <f aca="false">IFERROR(IF(INDEX(Inventory!C:C,SMALL($H$5:$H$304,99))="","",INDEX(Inventory!C:C,SMALL($H$5:$H$304,99))),"")</f>
        <v/>
      </c>
      <c r="D103" s="13" t="str">
        <f aca="false">IFERROR(IF(INDEX(Inventory!D:D,SMALL($H$5:$H$304,99))="","",INDEX(Inventory!D:D,SMALL($H$5:$H$304,99))),"")</f>
        <v/>
      </c>
      <c r="E103" s="13" t="str">
        <f aca="false">IFERROR(IF(INDEX(Inventory!E:E,SMALL($H$5:$H$304,99))="","",INDEX(Inventory!E:E,SMALL($H$5:$H$304,99))),"")</f>
        <v/>
      </c>
      <c r="F103" s="13" t="str">
        <f aca="false">IFERROR(IF(INDEX(Inventory!F:F,SMALL($H$5:$H$304,99))="","",INDEX(Inventory!F:F,SMALL($H$5:$H$304,99))),"")</f>
        <v/>
      </c>
      <c r="G103" s="13" t="str">
        <f aca="false">IFERROR(IF(INDEX(Inventory!G:G,SMALL($H$5:$H$304,99))="","",INDEX(Inventory!G:G,SMALL($H$5:$H$304,99))),"")</f>
        <v/>
      </c>
      <c r="H103" s="1" t="str">
        <f aca="false">IF(Inventory!A101="","",IF(ISNUMBER(SEARCH($C$2,Inventory!A101)),ROW(Inventory!A101),""))</f>
        <v/>
      </c>
    </row>
    <row r="104" customFormat="false" ht="15" hidden="false" customHeight="false" outlineLevel="0" collapsed="false">
      <c r="A104" s="11" t="str">
        <f aca="false">IFERROR(IF(INDEX(Inventory!A:A,SMALL($H$5:$H$304,100))="","",INDEX(Inventory!A:A,SMALL($H$5:$H$304,100))),"")</f>
        <v/>
      </c>
      <c r="B104" s="11" t="str">
        <f aca="false">IFERROR(IF(INDEX(Inventory!B:B,SMALL($H$5:$H$304,100))="","",INDEX(Inventory!B:B,SMALL($H$5:$H$304,100))),"")</f>
        <v/>
      </c>
      <c r="C104" s="11" t="str">
        <f aca="false">IFERROR(IF(INDEX(Inventory!C:C,SMALL($H$5:$H$304,100))="","",INDEX(Inventory!C:C,SMALL($H$5:$H$304,100))),"")</f>
        <v/>
      </c>
      <c r="D104" s="11" t="str">
        <f aca="false">IFERROR(IF(INDEX(Inventory!D:D,SMALL($H$5:$H$304,100))="","",INDEX(Inventory!D:D,SMALL($H$5:$H$304,100))),"")</f>
        <v/>
      </c>
      <c r="E104" s="11" t="str">
        <f aca="false">IFERROR(IF(INDEX(Inventory!E:E,SMALL($H$5:$H$304,100))="","",INDEX(Inventory!E:E,SMALL($H$5:$H$304,100))),"")</f>
        <v/>
      </c>
      <c r="F104" s="11" t="str">
        <f aca="false">IFERROR(IF(INDEX(Inventory!F:F,SMALL($H$5:$H$304,100))="","",INDEX(Inventory!F:F,SMALL($H$5:$H$304,100))),"")</f>
        <v/>
      </c>
      <c r="G104" s="11" t="str">
        <f aca="false">IFERROR(IF(INDEX(Inventory!G:G,SMALL($H$5:$H$304,100))="","",INDEX(Inventory!G:G,SMALL($H$5:$H$304,100))),"")</f>
        <v/>
      </c>
      <c r="H104" s="1" t="str">
        <f aca="false">IF(Inventory!A102="","",IF(ISNUMBER(SEARCH($C$2,Inventory!A102)),ROW(Inventory!A102),""))</f>
        <v/>
      </c>
    </row>
    <row r="105" customFormat="false" ht="15" hidden="false" customHeight="false" outlineLevel="0" collapsed="false">
      <c r="A105" s="13" t="str">
        <f aca="false">IFERROR(IF(INDEX(Inventory!A:A,SMALL($H$5:$H$304,101))="","",INDEX(Inventory!A:A,SMALL($H$5:$H$304,101))),"")</f>
        <v/>
      </c>
      <c r="B105" s="13" t="str">
        <f aca="false">IFERROR(IF(INDEX(Inventory!B:B,SMALL($H$5:$H$304,101))="","",INDEX(Inventory!B:B,SMALL($H$5:$H$304,101))),"")</f>
        <v/>
      </c>
      <c r="C105" s="13" t="str">
        <f aca="false">IFERROR(IF(INDEX(Inventory!C:C,SMALL($H$5:$H$304,101))="","",INDEX(Inventory!C:C,SMALL($H$5:$H$304,101))),"")</f>
        <v/>
      </c>
      <c r="D105" s="13" t="str">
        <f aca="false">IFERROR(IF(INDEX(Inventory!D:D,SMALL($H$5:$H$304,101))="","",INDEX(Inventory!D:D,SMALL($H$5:$H$304,101))),"")</f>
        <v/>
      </c>
      <c r="E105" s="13" t="str">
        <f aca="false">IFERROR(IF(INDEX(Inventory!E:E,SMALL($H$5:$H$304,101))="","",INDEX(Inventory!E:E,SMALL($H$5:$H$304,101))),"")</f>
        <v/>
      </c>
      <c r="F105" s="13" t="str">
        <f aca="false">IFERROR(IF(INDEX(Inventory!F:F,SMALL($H$5:$H$304,101))="","",INDEX(Inventory!F:F,SMALL($H$5:$H$304,101))),"")</f>
        <v/>
      </c>
      <c r="G105" s="13" t="str">
        <f aca="false">IFERROR(IF(INDEX(Inventory!G:G,SMALL($H$5:$H$304,101))="","",INDEX(Inventory!G:G,SMALL($H$5:$H$304,101))),"")</f>
        <v/>
      </c>
      <c r="H105" s="1" t="str">
        <f aca="false">IF(Inventory!A103="","",IF(ISNUMBER(SEARCH($C$2,Inventory!A103)),ROW(Inventory!A103),""))</f>
        <v/>
      </c>
    </row>
    <row r="106" customFormat="false" ht="15" hidden="false" customHeight="false" outlineLevel="0" collapsed="false">
      <c r="A106" s="11" t="str">
        <f aca="false">IFERROR(IF(INDEX(Inventory!A:A,SMALL($H$5:$H$304,102))="","",INDEX(Inventory!A:A,SMALL($H$5:$H$304,102))),"")</f>
        <v/>
      </c>
      <c r="B106" s="11" t="str">
        <f aca="false">IFERROR(IF(INDEX(Inventory!B:B,SMALL($H$5:$H$304,102))="","",INDEX(Inventory!B:B,SMALL($H$5:$H$304,102))),"")</f>
        <v/>
      </c>
      <c r="C106" s="11" t="str">
        <f aca="false">IFERROR(IF(INDEX(Inventory!C:C,SMALL($H$5:$H$304,102))="","",INDEX(Inventory!C:C,SMALL($H$5:$H$304,102))),"")</f>
        <v/>
      </c>
      <c r="D106" s="11" t="str">
        <f aca="false">IFERROR(IF(INDEX(Inventory!D:D,SMALL($H$5:$H$304,102))="","",INDEX(Inventory!D:D,SMALL($H$5:$H$304,102))),"")</f>
        <v/>
      </c>
      <c r="E106" s="11" t="str">
        <f aca="false">IFERROR(IF(INDEX(Inventory!E:E,SMALL($H$5:$H$304,102))="","",INDEX(Inventory!E:E,SMALL($H$5:$H$304,102))),"")</f>
        <v/>
      </c>
      <c r="F106" s="11" t="str">
        <f aca="false">IFERROR(IF(INDEX(Inventory!F:F,SMALL($H$5:$H$304,102))="","",INDEX(Inventory!F:F,SMALL($H$5:$H$304,102))),"")</f>
        <v/>
      </c>
      <c r="G106" s="11" t="str">
        <f aca="false">IFERROR(IF(INDEX(Inventory!G:G,SMALL($H$5:$H$304,102))="","",INDEX(Inventory!G:G,SMALL($H$5:$H$304,102))),"")</f>
        <v/>
      </c>
      <c r="H106" s="1" t="str">
        <f aca="false">IF(Inventory!A104="","",IF(ISNUMBER(SEARCH($C$2,Inventory!A104)),ROW(Inventory!A104),""))</f>
        <v/>
      </c>
    </row>
    <row r="107" customFormat="false" ht="15" hidden="false" customHeight="false" outlineLevel="0" collapsed="false">
      <c r="A107" s="13" t="str">
        <f aca="false">IFERROR(IF(INDEX(Inventory!A:A,SMALL($H$5:$H$304,103))="","",INDEX(Inventory!A:A,SMALL($H$5:$H$304,103))),"")</f>
        <v/>
      </c>
      <c r="B107" s="13" t="str">
        <f aca="false">IFERROR(IF(INDEX(Inventory!B:B,SMALL($H$5:$H$304,103))="","",INDEX(Inventory!B:B,SMALL($H$5:$H$304,103))),"")</f>
        <v/>
      </c>
      <c r="C107" s="13" t="str">
        <f aca="false">IFERROR(IF(INDEX(Inventory!C:C,SMALL($H$5:$H$304,103))="","",INDEX(Inventory!C:C,SMALL($H$5:$H$304,103))),"")</f>
        <v/>
      </c>
      <c r="D107" s="13" t="str">
        <f aca="false">IFERROR(IF(INDEX(Inventory!D:D,SMALL($H$5:$H$304,103))="","",INDEX(Inventory!D:D,SMALL($H$5:$H$304,103))),"")</f>
        <v/>
      </c>
      <c r="E107" s="13" t="str">
        <f aca="false">IFERROR(IF(INDEX(Inventory!E:E,SMALL($H$5:$H$304,103))="","",INDEX(Inventory!E:E,SMALL($H$5:$H$304,103))),"")</f>
        <v/>
      </c>
      <c r="F107" s="13" t="str">
        <f aca="false">IFERROR(IF(INDEX(Inventory!F:F,SMALL($H$5:$H$304,103))="","",INDEX(Inventory!F:F,SMALL($H$5:$H$304,103))),"")</f>
        <v/>
      </c>
      <c r="G107" s="13" t="str">
        <f aca="false">IFERROR(IF(INDEX(Inventory!G:G,SMALL($H$5:$H$304,103))="","",INDEX(Inventory!G:G,SMALL($H$5:$H$304,103))),"")</f>
        <v/>
      </c>
      <c r="H107" s="1" t="str">
        <f aca="false">IF(Inventory!A105="","",IF(ISNUMBER(SEARCH($C$2,Inventory!A105)),ROW(Inventory!A105),""))</f>
        <v/>
      </c>
    </row>
    <row r="108" customFormat="false" ht="15" hidden="false" customHeight="false" outlineLevel="0" collapsed="false">
      <c r="A108" s="11" t="str">
        <f aca="false">IFERROR(IF(INDEX(Inventory!A:A,SMALL($H$5:$H$304,104))="","",INDEX(Inventory!A:A,SMALL($H$5:$H$304,104))),"")</f>
        <v/>
      </c>
      <c r="B108" s="11" t="str">
        <f aca="false">IFERROR(IF(INDEX(Inventory!B:B,SMALL($H$5:$H$304,104))="","",INDEX(Inventory!B:B,SMALL($H$5:$H$304,104))),"")</f>
        <v/>
      </c>
      <c r="C108" s="11" t="str">
        <f aca="false">IFERROR(IF(INDEX(Inventory!C:C,SMALL($H$5:$H$304,104))="","",INDEX(Inventory!C:C,SMALL($H$5:$H$304,104))),"")</f>
        <v/>
      </c>
      <c r="D108" s="11" t="str">
        <f aca="false">IFERROR(IF(INDEX(Inventory!D:D,SMALL($H$5:$H$304,104))="","",INDEX(Inventory!D:D,SMALL($H$5:$H$304,104))),"")</f>
        <v/>
      </c>
      <c r="E108" s="11" t="str">
        <f aca="false">IFERROR(IF(INDEX(Inventory!E:E,SMALL($H$5:$H$304,104))="","",INDEX(Inventory!E:E,SMALL($H$5:$H$304,104))),"")</f>
        <v/>
      </c>
      <c r="F108" s="11" t="str">
        <f aca="false">IFERROR(IF(INDEX(Inventory!F:F,SMALL($H$5:$H$304,104))="","",INDEX(Inventory!F:F,SMALL($H$5:$H$304,104))),"")</f>
        <v/>
      </c>
      <c r="G108" s="11" t="str">
        <f aca="false">IFERROR(IF(INDEX(Inventory!G:G,SMALL($H$5:$H$304,104))="","",INDEX(Inventory!G:G,SMALL($H$5:$H$304,104))),"")</f>
        <v/>
      </c>
      <c r="H108" s="1" t="str">
        <f aca="false">IF(Inventory!A106="","",IF(ISNUMBER(SEARCH($C$2,Inventory!A106)),ROW(Inventory!A106),""))</f>
        <v/>
      </c>
    </row>
    <row r="109" customFormat="false" ht="15" hidden="false" customHeight="false" outlineLevel="0" collapsed="false">
      <c r="A109" s="13" t="str">
        <f aca="false">IFERROR(IF(INDEX(Inventory!A:A,SMALL($H$5:$H$304,105))="","",INDEX(Inventory!A:A,SMALL($H$5:$H$304,105))),"")</f>
        <v/>
      </c>
      <c r="B109" s="13" t="str">
        <f aca="false">IFERROR(IF(INDEX(Inventory!B:B,SMALL($H$5:$H$304,105))="","",INDEX(Inventory!B:B,SMALL($H$5:$H$304,105))),"")</f>
        <v/>
      </c>
      <c r="C109" s="13" t="str">
        <f aca="false">IFERROR(IF(INDEX(Inventory!C:C,SMALL($H$5:$H$304,105))="","",INDEX(Inventory!C:C,SMALL($H$5:$H$304,105))),"")</f>
        <v/>
      </c>
      <c r="D109" s="13" t="str">
        <f aca="false">IFERROR(IF(INDEX(Inventory!D:D,SMALL($H$5:$H$304,105))="","",INDEX(Inventory!D:D,SMALL($H$5:$H$304,105))),"")</f>
        <v/>
      </c>
      <c r="E109" s="13" t="str">
        <f aca="false">IFERROR(IF(INDEX(Inventory!E:E,SMALL($H$5:$H$304,105))="","",INDEX(Inventory!E:E,SMALL($H$5:$H$304,105))),"")</f>
        <v/>
      </c>
      <c r="F109" s="13" t="str">
        <f aca="false">IFERROR(IF(INDEX(Inventory!F:F,SMALL($H$5:$H$304,105))="","",INDEX(Inventory!F:F,SMALL($H$5:$H$304,105))),"")</f>
        <v/>
      </c>
      <c r="G109" s="13" t="str">
        <f aca="false">IFERROR(IF(INDEX(Inventory!G:G,SMALL($H$5:$H$304,105))="","",INDEX(Inventory!G:G,SMALL($H$5:$H$304,105))),"")</f>
        <v/>
      </c>
      <c r="H109" s="1" t="str">
        <f aca="false">IF(Inventory!A107="","",IF(ISNUMBER(SEARCH($C$2,Inventory!A107)),ROW(Inventory!A107),""))</f>
        <v/>
      </c>
    </row>
    <row r="110" customFormat="false" ht="15" hidden="false" customHeight="false" outlineLevel="0" collapsed="false">
      <c r="A110" s="11" t="str">
        <f aca="false">IFERROR(IF(INDEX(Inventory!A:A,SMALL($H$5:$H$304,106))="","",INDEX(Inventory!A:A,SMALL($H$5:$H$304,106))),"")</f>
        <v/>
      </c>
      <c r="B110" s="11" t="str">
        <f aca="false">IFERROR(IF(INDEX(Inventory!B:B,SMALL($H$5:$H$304,106))="","",INDEX(Inventory!B:B,SMALL($H$5:$H$304,106))),"")</f>
        <v/>
      </c>
      <c r="C110" s="11" t="str">
        <f aca="false">IFERROR(IF(INDEX(Inventory!C:C,SMALL($H$5:$H$304,106))="","",INDEX(Inventory!C:C,SMALL($H$5:$H$304,106))),"")</f>
        <v/>
      </c>
      <c r="D110" s="11" t="str">
        <f aca="false">IFERROR(IF(INDEX(Inventory!D:D,SMALL($H$5:$H$304,106))="","",INDEX(Inventory!D:D,SMALL($H$5:$H$304,106))),"")</f>
        <v/>
      </c>
      <c r="E110" s="11" t="str">
        <f aca="false">IFERROR(IF(INDEX(Inventory!E:E,SMALL($H$5:$H$304,106))="","",INDEX(Inventory!E:E,SMALL($H$5:$H$304,106))),"")</f>
        <v/>
      </c>
      <c r="F110" s="11" t="str">
        <f aca="false">IFERROR(IF(INDEX(Inventory!F:F,SMALL($H$5:$H$304,106))="","",INDEX(Inventory!F:F,SMALL($H$5:$H$304,106))),"")</f>
        <v/>
      </c>
      <c r="G110" s="11" t="str">
        <f aca="false">IFERROR(IF(INDEX(Inventory!G:G,SMALL($H$5:$H$304,106))="","",INDEX(Inventory!G:G,SMALL($H$5:$H$304,106))),"")</f>
        <v/>
      </c>
      <c r="H110" s="1" t="str">
        <f aca="false">IF(Inventory!A108="","",IF(ISNUMBER(SEARCH($C$2,Inventory!A108)),ROW(Inventory!A108),""))</f>
        <v/>
      </c>
    </row>
    <row r="111" customFormat="false" ht="15" hidden="false" customHeight="false" outlineLevel="0" collapsed="false">
      <c r="A111" s="13" t="str">
        <f aca="false">IFERROR(IF(INDEX(Inventory!A:A,SMALL($H$5:$H$304,107))="","",INDEX(Inventory!A:A,SMALL($H$5:$H$304,107))),"")</f>
        <v/>
      </c>
      <c r="B111" s="13" t="str">
        <f aca="false">IFERROR(IF(INDEX(Inventory!B:B,SMALL($H$5:$H$304,107))="","",INDEX(Inventory!B:B,SMALL($H$5:$H$304,107))),"")</f>
        <v/>
      </c>
      <c r="C111" s="13" t="str">
        <f aca="false">IFERROR(IF(INDEX(Inventory!C:C,SMALL($H$5:$H$304,107))="","",INDEX(Inventory!C:C,SMALL($H$5:$H$304,107))),"")</f>
        <v/>
      </c>
      <c r="D111" s="13" t="str">
        <f aca="false">IFERROR(IF(INDEX(Inventory!D:D,SMALL($H$5:$H$304,107))="","",INDEX(Inventory!D:D,SMALL($H$5:$H$304,107))),"")</f>
        <v/>
      </c>
      <c r="E111" s="13" t="str">
        <f aca="false">IFERROR(IF(INDEX(Inventory!E:E,SMALL($H$5:$H$304,107))="","",INDEX(Inventory!E:E,SMALL($H$5:$H$304,107))),"")</f>
        <v/>
      </c>
      <c r="F111" s="13" t="str">
        <f aca="false">IFERROR(IF(INDEX(Inventory!F:F,SMALL($H$5:$H$304,107))="","",INDEX(Inventory!F:F,SMALL($H$5:$H$304,107))),"")</f>
        <v/>
      </c>
      <c r="G111" s="13" t="str">
        <f aca="false">IFERROR(IF(INDEX(Inventory!G:G,SMALL($H$5:$H$304,107))="","",INDEX(Inventory!G:G,SMALL($H$5:$H$304,107))),"")</f>
        <v/>
      </c>
      <c r="H111" s="1" t="str">
        <f aca="false">IF(Inventory!A109="","",IF(ISNUMBER(SEARCH($C$2,Inventory!A109)),ROW(Inventory!A109),""))</f>
        <v/>
      </c>
    </row>
    <row r="112" customFormat="false" ht="15" hidden="false" customHeight="false" outlineLevel="0" collapsed="false">
      <c r="A112" s="11" t="str">
        <f aca="false">IFERROR(IF(INDEX(Inventory!A:A,SMALL($H$5:$H$304,108))="","",INDEX(Inventory!A:A,SMALL($H$5:$H$304,108))),"")</f>
        <v/>
      </c>
      <c r="B112" s="11" t="str">
        <f aca="false">IFERROR(IF(INDEX(Inventory!B:B,SMALL($H$5:$H$304,108))="","",INDEX(Inventory!B:B,SMALL($H$5:$H$304,108))),"")</f>
        <v/>
      </c>
      <c r="C112" s="11" t="str">
        <f aca="false">IFERROR(IF(INDEX(Inventory!C:C,SMALL($H$5:$H$304,108))="","",INDEX(Inventory!C:C,SMALL($H$5:$H$304,108))),"")</f>
        <v/>
      </c>
      <c r="D112" s="11" t="str">
        <f aca="false">IFERROR(IF(INDEX(Inventory!D:D,SMALL($H$5:$H$304,108))="","",INDEX(Inventory!D:D,SMALL($H$5:$H$304,108))),"")</f>
        <v/>
      </c>
      <c r="E112" s="11" t="str">
        <f aca="false">IFERROR(IF(INDEX(Inventory!E:E,SMALL($H$5:$H$304,108))="","",INDEX(Inventory!E:E,SMALL($H$5:$H$304,108))),"")</f>
        <v/>
      </c>
      <c r="F112" s="11" t="str">
        <f aca="false">IFERROR(IF(INDEX(Inventory!F:F,SMALL($H$5:$H$304,108))="","",INDEX(Inventory!F:F,SMALL($H$5:$H$304,108))),"")</f>
        <v/>
      </c>
      <c r="G112" s="11" t="str">
        <f aca="false">IFERROR(IF(INDEX(Inventory!G:G,SMALL($H$5:$H$304,108))="","",INDEX(Inventory!G:G,SMALL($H$5:$H$304,108))),"")</f>
        <v/>
      </c>
      <c r="H112" s="1" t="str">
        <f aca="false">IF(Inventory!A110="","",IF(ISNUMBER(SEARCH($C$2,Inventory!A110)),ROW(Inventory!A110),""))</f>
        <v/>
      </c>
    </row>
    <row r="113" customFormat="false" ht="15" hidden="false" customHeight="false" outlineLevel="0" collapsed="false">
      <c r="A113" s="13" t="str">
        <f aca="false">IFERROR(IF(INDEX(Inventory!A:A,SMALL($H$5:$H$304,109))="","",INDEX(Inventory!A:A,SMALL($H$5:$H$304,109))),"")</f>
        <v/>
      </c>
      <c r="B113" s="13" t="str">
        <f aca="false">IFERROR(IF(INDEX(Inventory!B:B,SMALL($H$5:$H$304,109))="","",INDEX(Inventory!B:B,SMALL($H$5:$H$304,109))),"")</f>
        <v/>
      </c>
      <c r="C113" s="13" t="str">
        <f aca="false">IFERROR(IF(INDEX(Inventory!C:C,SMALL($H$5:$H$304,109))="","",INDEX(Inventory!C:C,SMALL($H$5:$H$304,109))),"")</f>
        <v/>
      </c>
      <c r="D113" s="13" t="str">
        <f aca="false">IFERROR(IF(INDEX(Inventory!D:D,SMALL($H$5:$H$304,109))="","",INDEX(Inventory!D:D,SMALL($H$5:$H$304,109))),"")</f>
        <v/>
      </c>
      <c r="E113" s="13" t="str">
        <f aca="false">IFERROR(IF(INDEX(Inventory!E:E,SMALL($H$5:$H$304,109))="","",INDEX(Inventory!E:E,SMALL($H$5:$H$304,109))),"")</f>
        <v/>
      </c>
      <c r="F113" s="13" t="str">
        <f aca="false">IFERROR(IF(INDEX(Inventory!F:F,SMALL($H$5:$H$304,109))="","",INDEX(Inventory!F:F,SMALL($H$5:$H$304,109))),"")</f>
        <v/>
      </c>
      <c r="G113" s="13" t="str">
        <f aca="false">IFERROR(IF(INDEX(Inventory!G:G,SMALL($H$5:$H$304,109))="","",INDEX(Inventory!G:G,SMALL($H$5:$H$304,109))),"")</f>
        <v/>
      </c>
      <c r="H113" s="1" t="str">
        <f aca="false">IF(Inventory!A111="","",IF(ISNUMBER(SEARCH($C$2,Inventory!A111)),ROW(Inventory!A111),""))</f>
        <v/>
      </c>
    </row>
    <row r="114" customFormat="false" ht="15" hidden="false" customHeight="false" outlineLevel="0" collapsed="false">
      <c r="A114" s="11" t="str">
        <f aca="false">IFERROR(IF(INDEX(Inventory!A:A,SMALL($H$5:$H$304,110))="","",INDEX(Inventory!A:A,SMALL($H$5:$H$304,110))),"")</f>
        <v/>
      </c>
      <c r="B114" s="11" t="str">
        <f aca="false">IFERROR(IF(INDEX(Inventory!B:B,SMALL($H$5:$H$304,110))="","",INDEX(Inventory!B:B,SMALL($H$5:$H$304,110))),"")</f>
        <v/>
      </c>
      <c r="C114" s="11" t="str">
        <f aca="false">IFERROR(IF(INDEX(Inventory!C:C,SMALL($H$5:$H$304,110))="","",INDEX(Inventory!C:C,SMALL($H$5:$H$304,110))),"")</f>
        <v/>
      </c>
      <c r="D114" s="11" t="str">
        <f aca="false">IFERROR(IF(INDEX(Inventory!D:D,SMALL($H$5:$H$304,110))="","",INDEX(Inventory!D:D,SMALL($H$5:$H$304,110))),"")</f>
        <v/>
      </c>
      <c r="E114" s="11" t="str">
        <f aca="false">IFERROR(IF(INDEX(Inventory!E:E,SMALL($H$5:$H$304,110))="","",INDEX(Inventory!E:E,SMALL($H$5:$H$304,110))),"")</f>
        <v/>
      </c>
      <c r="F114" s="11" t="str">
        <f aca="false">IFERROR(IF(INDEX(Inventory!F:F,SMALL($H$5:$H$304,110))="","",INDEX(Inventory!F:F,SMALL($H$5:$H$304,110))),"")</f>
        <v/>
      </c>
      <c r="G114" s="11" t="str">
        <f aca="false">IFERROR(IF(INDEX(Inventory!G:G,SMALL($H$5:$H$304,110))="","",INDEX(Inventory!G:G,SMALL($H$5:$H$304,110))),"")</f>
        <v/>
      </c>
      <c r="H114" s="1" t="str">
        <f aca="false">IF(Inventory!A112="","",IF(ISNUMBER(SEARCH($C$2,Inventory!A112)),ROW(Inventory!A112),""))</f>
        <v/>
      </c>
    </row>
    <row r="115" customFormat="false" ht="15" hidden="false" customHeight="false" outlineLevel="0" collapsed="false">
      <c r="A115" s="13" t="str">
        <f aca="false">IFERROR(IF(INDEX(Inventory!A:A,SMALL($H$5:$H$304,111))="","",INDEX(Inventory!A:A,SMALL($H$5:$H$304,111))),"")</f>
        <v/>
      </c>
      <c r="B115" s="13" t="str">
        <f aca="false">IFERROR(IF(INDEX(Inventory!B:B,SMALL($H$5:$H$304,111))="","",INDEX(Inventory!B:B,SMALL($H$5:$H$304,111))),"")</f>
        <v/>
      </c>
      <c r="C115" s="13" t="str">
        <f aca="false">IFERROR(IF(INDEX(Inventory!C:C,SMALL($H$5:$H$304,111))="","",INDEX(Inventory!C:C,SMALL($H$5:$H$304,111))),"")</f>
        <v/>
      </c>
      <c r="D115" s="13" t="str">
        <f aca="false">IFERROR(IF(INDEX(Inventory!D:D,SMALL($H$5:$H$304,111))="","",INDEX(Inventory!D:D,SMALL($H$5:$H$304,111))),"")</f>
        <v/>
      </c>
      <c r="E115" s="13" t="str">
        <f aca="false">IFERROR(IF(INDEX(Inventory!E:E,SMALL($H$5:$H$304,111))="","",INDEX(Inventory!E:E,SMALL($H$5:$H$304,111))),"")</f>
        <v/>
      </c>
      <c r="F115" s="13" t="str">
        <f aca="false">IFERROR(IF(INDEX(Inventory!F:F,SMALL($H$5:$H$304,111))="","",INDEX(Inventory!F:F,SMALL($H$5:$H$304,111))),"")</f>
        <v/>
      </c>
      <c r="G115" s="13" t="str">
        <f aca="false">IFERROR(IF(INDEX(Inventory!G:G,SMALL($H$5:$H$304,111))="","",INDEX(Inventory!G:G,SMALL($H$5:$H$304,111))),"")</f>
        <v/>
      </c>
      <c r="H115" s="1" t="str">
        <f aca="false">IF(Inventory!A113="","",IF(ISNUMBER(SEARCH($C$2,Inventory!A113)),ROW(Inventory!A113),""))</f>
        <v/>
      </c>
    </row>
    <row r="116" customFormat="false" ht="15" hidden="false" customHeight="false" outlineLevel="0" collapsed="false">
      <c r="A116" s="11" t="str">
        <f aca="false">IFERROR(IF(INDEX(Inventory!A:A,SMALL($H$5:$H$304,112))="","",INDEX(Inventory!A:A,SMALL($H$5:$H$304,112))),"")</f>
        <v/>
      </c>
      <c r="B116" s="11" t="str">
        <f aca="false">IFERROR(IF(INDEX(Inventory!B:B,SMALL($H$5:$H$304,112))="","",INDEX(Inventory!B:B,SMALL($H$5:$H$304,112))),"")</f>
        <v/>
      </c>
      <c r="C116" s="11" t="str">
        <f aca="false">IFERROR(IF(INDEX(Inventory!C:C,SMALL($H$5:$H$304,112))="","",INDEX(Inventory!C:C,SMALL($H$5:$H$304,112))),"")</f>
        <v/>
      </c>
      <c r="D116" s="11" t="str">
        <f aca="false">IFERROR(IF(INDEX(Inventory!D:D,SMALL($H$5:$H$304,112))="","",INDEX(Inventory!D:D,SMALL($H$5:$H$304,112))),"")</f>
        <v/>
      </c>
      <c r="E116" s="11" t="str">
        <f aca="false">IFERROR(IF(INDEX(Inventory!E:E,SMALL($H$5:$H$304,112))="","",INDEX(Inventory!E:E,SMALL($H$5:$H$304,112))),"")</f>
        <v/>
      </c>
      <c r="F116" s="11" t="str">
        <f aca="false">IFERROR(IF(INDEX(Inventory!F:F,SMALL($H$5:$H$304,112))="","",INDEX(Inventory!F:F,SMALL($H$5:$H$304,112))),"")</f>
        <v/>
      </c>
      <c r="G116" s="11" t="str">
        <f aca="false">IFERROR(IF(INDEX(Inventory!G:G,SMALL($H$5:$H$304,112))="","",INDEX(Inventory!G:G,SMALL($H$5:$H$304,112))),"")</f>
        <v/>
      </c>
      <c r="H116" s="1" t="str">
        <f aca="false">IF(Inventory!A114="","",IF(ISNUMBER(SEARCH($C$2,Inventory!A114)),ROW(Inventory!A114),""))</f>
        <v/>
      </c>
    </row>
    <row r="117" customFormat="false" ht="15" hidden="false" customHeight="false" outlineLevel="0" collapsed="false">
      <c r="A117" s="13" t="str">
        <f aca="false">IFERROR(IF(INDEX(Inventory!A:A,SMALL($H$5:$H$304,113))="","",INDEX(Inventory!A:A,SMALL($H$5:$H$304,113))),"")</f>
        <v/>
      </c>
      <c r="B117" s="13" t="str">
        <f aca="false">IFERROR(IF(INDEX(Inventory!B:B,SMALL($H$5:$H$304,113))="","",INDEX(Inventory!B:B,SMALL($H$5:$H$304,113))),"")</f>
        <v/>
      </c>
      <c r="C117" s="13" t="str">
        <f aca="false">IFERROR(IF(INDEX(Inventory!C:C,SMALL($H$5:$H$304,113))="","",INDEX(Inventory!C:C,SMALL($H$5:$H$304,113))),"")</f>
        <v/>
      </c>
      <c r="D117" s="13" t="str">
        <f aca="false">IFERROR(IF(INDEX(Inventory!D:D,SMALL($H$5:$H$304,113))="","",INDEX(Inventory!D:D,SMALL($H$5:$H$304,113))),"")</f>
        <v/>
      </c>
      <c r="E117" s="13" t="str">
        <f aca="false">IFERROR(IF(INDEX(Inventory!E:E,SMALL($H$5:$H$304,113))="","",INDEX(Inventory!E:E,SMALL($H$5:$H$304,113))),"")</f>
        <v/>
      </c>
      <c r="F117" s="13" t="str">
        <f aca="false">IFERROR(IF(INDEX(Inventory!F:F,SMALL($H$5:$H$304,113))="","",INDEX(Inventory!F:F,SMALL($H$5:$H$304,113))),"")</f>
        <v/>
      </c>
      <c r="G117" s="13" t="str">
        <f aca="false">IFERROR(IF(INDEX(Inventory!G:G,SMALL($H$5:$H$304,113))="","",INDEX(Inventory!G:G,SMALL($H$5:$H$304,113))),"")</f>
        <v/>
      </c>
      <c r="H117" s="1" t="str">
        <f aca="false">IF(Inventory!A115="","",IF(ISNUMBER(SEARCH($C$2,Inventory!A115)),ROW(Inventory!A115),""))</f>
        <v/>
      </c>
    </row>
    <row r="118" customFormat="false" ht="15" hidden="false" customHeight="false" outlineLevel="0" collapsed="false">
      <c r="A118" s="11" t="str">
        <f aca="false">IFERROR(IF(INDEX(Inventory!A:A,SMALL($H$5:$H$304,114))="","",INDEX(Inventory!A:A,SMALL($H$5:$H$304,114))),"")</f>
        <v/>
      </c>
      <c r="B118" s="11" t="str">
        <f aca="false">IFERROR(IF(INDEX(Inventory!B:B,SMALL($H$5:$H$304,114))="","",INDEX(Inventory!B:B,SMALL($H$5:$H$304,114))),"")</f>
        <v/>
      </c>
      <c r="C118" s="11" t="str">
        <f aca="false">IFERROR(IF(INDEX(Inventory!C:C,SMALL($H$5:$H$304,114))="","",INDEX(Inventory!C:C,SMALL($H$5:$H$304,114))),"")</f>
        <v/>
      </c>
      <c r="D118" s="11" t="str">
        <f aca="false">IFERROR(IF(INDEX(Inventory!D:D,SMALL($H$5:$H$304,114))="","",INDEX(Inventory!D:D,SMALL($H$5:$H$304,114))),"")</f>
        <v/>
      </c>
      <c r="E118" s="11" t="str">
        <f aca="false">IFERROR(IF(INDEX(Inventory!E:E,SMALL($H$5:$H$304,114))="","",INDEX(Inventory!E:E,SMALL($H$5:$H$304,114))),"")</f>
        <v/>
      </c>
      <c r="F118" s="11" t="str">
        <f aca="false">IFERROR(IF(INDEX(Inventory!F:F,SMALL($H$5:$H$304,114))="","",INDEX(Inventory!F:F,SMALL($H$5:$H$304,114))),"")</f>
        <v/>
      </c>
      <c r="G118" s="11" t="str">
        <f aca="false">IFERROR(IF(INDEX(Inventory!G:G,SMALL($H$5:$H$304,114))="","",INDEX(Inventory!G:G,SMALL($H$5:$H$304,114))),"")</f>
        <v/>
      </c>
      <c r="H118" s="1" t="str">
        <f aca="false">IF(Inventory!A116="","",IF(ISNUMBER(SEARCH($C$2,Inventory!A116)),ROW(Inventory!A116),""))</f>
        <v/>
      </c>
    </row>
    <row r="119" customFormat="false" ht="15" hidden="false" customHeight="false" outlineLevel="0" collapsed="false">
      <c r="A119" s="13" t="str">
        <f aca="false">IFERROR(IF(INDEX(Inventory!A:A,SMALL($H$5:$H$304,115))="","",INDEX(Inventory!A:A,SMALL($H$5:$H$304,115))),"")</f>
        <v/>
      </c>
      <c r="B119" s="13" t="str">
        <f aca="false">IFERROR(IF(INDEX(Inventory!B:B,SMALL($H$5:$H$304,115))="","",INDEX(Inventory!B:B,SMALL($H$5:$H$304,115))),"")</f>
        <v/>
      </c>
      <c r="C119" s="13" t="str">
        <f aca="false">IFERROR(IF(INDEX(Inventory!C:C,SMALL($H$5:$H$304,115))="","",INDEX(Inventory!C:C,SMALL($H$5:$H$304,115))),"")</f>
        <v/>
      </c>
      <c r="D119" s="13" t="str">
        <f aca="false">IFERROR(IF(INDEX(Inventory!D:D,SMALL($H$5:$H$304,115))="","",INDEX(Inventory!D:D,SMALL($H$5:$H$304,115))),"")</f>
        <v/>
      </c>
      <c r="E119" s="13" t="str">
        <f aca="false">IFERROR(IF(INDEX(Inventory!E:E,SMALL($H$5:$H$304,115))="","",INDEX(Inventory!E:E,SMALL($H$5:$H$304,115))),"")</f>
        <v/>
      </c>
      <c r="F119" s="13" t="str">
        <f aca="false">IFERROR(IF(INDEX(Inventory!F:F,SMALL($H$5:$H$304,115))="","",INDEX(Inventory!F:F,SMALL($H$5:$H$304,115))),"")</f>
        <v/>
      </c>
      <c r="G119" s="13" t="str">
        <f aca="false">IFERROR(IF(INDEX(Inventory!G:G,SMALL($H$5:$H$304,115))="","",INDEX(Inventory!G:G,SMALL($H$5:$H$304,115))),"")</f>
        <v/>
      </c>
      <c r="H119" s="1" t="str">
        <f aca="false">IF(Inventory!A117="","",IF(ISNUMBER(SEARCH($C$2,Inventory!A117)),ROW(Inventory!A117),""))</f>
        <v/>
      </c>
    </row>
    <row r="120" customFormat="false" ht="15" hidden="false" customHeight="false" outlineLevel="0" collapsed="false">
      <c r="A120" s="11" t="str">
        <f aca="false">IFERROR(IF(INDEX(Inventory!A:A,SMALL($H$5:$H$304,116))="","",INDEX(Inventory!A:A,SMALL($H$5:$H$304,116))),"")</f>
        <v/>
      </c>
      <c r="B120" s="11" t="str">
        <f aca="false">IFERROR(IF(INDEX(Inventory!B:B,SMALL($H$5:$H$304,116))="","",INDEX(Inventory!B:B,SMALL($H$5:$H$304,116))),"")</f>
        <v/>
      </c>
      <c r="C120" s="11" t="str">
        <f aca="false">IFERROR(IF(INDEX(Inventory!C:C,SMALL($H$5:$H$304,116))="","",INDEX(Inventory!C:C,SMALL($H$5:$H$304,116))),"")</f>
        <v/>
      </c>
      <c r="D120" s="11" t="str">
        <f aca="false">IFERROR(IF(INDEX(Inventory!D:D,SMALL($H$5:$H$304,116))="","",INDEX(Inventory!D:D,SMALL($H$5:$H$304,116))),"")</f>
        <v/>
      </c>
      <c r="E120" s="11" t="str">
        <f aca="false">IFERROR(IF(INDEX(Inventory!E:E,SMALL($H$5:$H$304,116))="","",INDEX(Inventory!E:E,SMALL($H$5:$H$304,116))),"")</f>
        <v/>
      </c>
      <c r="F120" s="11" t="str">
        <f aca="false">IFERROR(IF(INDEX(Inventory!F:F,SMALL($H$5:$H$304,116))="","",INDEX(Inventory!F:F,SMALL($H$5:$H$304,116))),"")</f>
        <v/>
      </c>
      <c r="G120" s="11" t="str">
        <f aca="false">IFERROR(IF(INDEX(Inventory!G:G,SMALL($H$5:$H$304,116))="","",INDEX(Inventory!G:G,SMALL($H$5:$H$304,116))),"")</f>
        <v/>
      </c>
      <c r="H120" s="1" t="str">
        <f aca="false">IF(Inventory!A118="","",IF(ISNUMBER(SEARCH($C$2,Inventory!A118)),ROW(Inventory!A118),""))</f>
        <v/>
      </c>
    </row>
    <row r="121" customFormat="false" ht="15" hidden="false" customHeight="false" outlineLevel="0" collapsed="false">
      <c r="A121" s="13" t="str">
        <f aca="false">IFERROR(IF(INDEX(Inventory!A:A,SMALL($H$5:$H$304,117))="","",INDEX(Inventory!A:A,SMALL($H$5:$H$304,117))),"")</f>
        <v/>
      </c>
      <c r="B121" s="13" t="str">
        <f aca="false">IFERROR(IF(INDEX(Inventory!B:B,SMALL($H$5:$H$304,117))="","",INDEX(Inventory!B:B,SMALL($H$5:$H$304,117))),"")</f>
        <v/>
      </c>
      <c r="C121" s="13" t="str">
        <f aca="false">IFERROR(IF(INDEX(Inventory!C:C,SMALL($H$5:$H$304,117))="","",INDEX(Inventory!C:C,SMALL($H$5:$H$304,117))),"")</f>
        <v/>
      </c>
      <c r="D121" s="13" t="str">
        <f aca="false">IFERROR(IF(INDEX(Inventory!D:D,SMALL($H$5:$H$304,117))="","",INDEX(Inventory!D:D,SMALL($H$5:$H$304,117))),"")</f>
        <v/>
      </c>
      <c r="E121" s="13" t="str">
        <f aca="false">IFERROR(IF(INDEX(Inventory!E:E,SMALL($H$5:$H$304,117))="","",INDEX(Inventory!E:E,SMALL($H$5:$H$304,117))),"")</f>
        <v/>
      </c>
      <c r="F121" s="13" t="str">
        <f aca="false">IFERROR(IF(INDEX(Inventory!F:F,SMALL($H$5:$H$304,117))="","",INDEX(Inventory!F:F,SMALL($H$5:$H$304,117))),"")</f>
        <v/>
      </c>
      <c r="G121" s="13" t="str">
        <f aca="false">IFERROR(IF(INDEX(Inventory!G:G,SMALL($H$5:$H$304,117))="","",INDEX(Inventory!G:G,SMALL($H$5:$H$304,117))),"")</f>
        <v/>
      </c>
      <c r="H121" s="1" t="str">
        <f aca="false">IF(Inventory!A119="","",IF(ISNUMBER(SEARCH($C$2,Inventory!A119)),ROW(Inventory!A119),""))</f>
        <v/>
      </c>
    </row>
    <row r="122" customFormat="false" ht="15" hidden="false" customHeight="false" outlineLevel="0" collapsed="false">
      <c r="A122" s="11" t="str">
        <f aca="false">IFERROR(IF(INDEX(Inventory!A:A,SMALL($H$5:$H$304,118))="","",INDEX(Inventory!A:A,SMALL($H$5:$H$304,118))),"")</f>
        <v/>
      </c>
      <c r="B122" s="11" t="str">
        <f aca="false">IFERROR(IF(INDEX(Inventory!B:B,SMALL($H$5:$H$304,118))="","",INDEX(Inventory!B:B,SMALL($H$5:$H$304,118))),"")</f>
        <v/>
      </c>
      <c r="C122" s="11" t="str">
        <f aca="false">IFERROR(IF(INDEX(Inventory!C:C,SMALL($H$5:$H$304,118))="","",INDEX(Inventory!C:C,SMALL($H$5:$H$304,118))),"")</f>
        <v/>
      </c>
      <c r="D122" s="11" t="str">
        <f aca="false">IFERROR(IF(INDEX(Inventory!D:D,SMALL($H$5:$H$304,118))="","",INDEX(Inventory!D:D,SMALL($H$5:$H$304,118))),"")</f>
        <v/>
      </c>
      <c r="E122" s="11" t="str">
        <f aca="false">IFERROR(IF(INDEX(Inventory!E:E,SMALL($H$5:$H$304,118))="","",INDEX(Inventory!E:E,SMALL($H$5:$H$304,118))),"")</f>
        <v/>
      </c>
      <c r="F122" s="11" t="str">
        <f aca="false">IFERROR(IF(INDEX(Inventory!F:F,SMALL($H$5:$H$304,118))="","",INDEX(Inventory!F:F,SMALL($H$5:$H$304,118))),"")</f>
        <v/>
      </c>
      <c r="G122" s="11" t="str">
        <f aca="false">IFERROR(IF(INDEX(Inventory!G:G,SMALL($H$5:$H$304,118))="","",INDEX(Inventory!G:G,SMALL($H$5:$H$304,118))),"")</f>
        <v/>
      </c>
      <c r="H122" s="1" t="str">
        <f aca="false">IF(Inventory!A120="","",IF(ISNUMBER(SEARCH($C$2,Inventory!A120)),ROW(Inventory!A120),""))</f>
        <v/>
      </c>
    </row>
    <row r="123" customFormat="false" ht="15" hidden="false" customHeight="false" outlineLevel="0" collapsed="false">
      <c r="A123" s="13" t="str">
        <f aca="false">IFERROR(IF(INDEX(Inventory!A:A,SMALL($H$5:$H$304,119))="","",INDEX(Inventory!A:A,SMALL($H$5:$H$304,119))),"")</f>
        <v/>
      </c>
      <c r="B123" s="13" t="str">
        <f aca="false">IFERROR(IF(INDEX(Inventory!B:B,SMALL($H$5:$H$304,119))="","",INDEX(Inventory!B:B,SMALL($H$5:$H$304,119))),"")</f>
        <v/>
      </c>
      <c r="C123" s="13" t="str">
        <f aca="false">IFERROR(IF(INDEX(Inventory!C:C,SMALL($H$5:$H$304,119))="","",INDEX(Inventory!C:C,SMALL($H$5:$H$304,119))),"")</f>
        <v/>
      </c>
      <c r="D123" s="13" t="str">
        <f aca="false">IFERROR(IF(INDEX(Inventory!D:D,SMALL($H$5:$H$304,119))="","",INDEX(Inventory!D:D,SMALL($H$5:$H$304,119))),"")</f>
        <v/>
      </c>
      <c r="E123" s="13" t="str">
        <f aca="false">IFERROR(IF(INDEX(Inventory!E:E,SMALL($H$5:$H$304,119))="","",INDEX(Inventory!E:E,SMALL($H$5:$H$304,119))),"")</f>
        <v/>
      </c>
      <c r="F123" s="13" t="str">
        <f aca="false">IFERROR(IF(INDEX(Inventory!F:F,SMALL($H$5:$H$304,119))="","",INDEX(Inventory!F:F,SMALL($H$5:$H$304,119))),"")</f>
        <v/>
      </c>
      <c r="G123" s="13" t="str">
        <f aca="false">IFERROR(IF(INDEX(Inventory!G:G,SMALL($H$5:$H$304,119))="","",INDEX(Inventory!G:G,SMALL($H$5:$H$304,119))),"")</f>
        <v/>
      </c>
      <c r="H123" s="1" t="str">
        <f aca="false">IF(Inventory!A121="","",IF(ISNUMBER(SEARCH($C$2,Inventory!A121)),ROW(Inventory!A121),""))</f>
        <v/>
      </c>
    </row>
    <row r="124" customFormat="false" ht="15" hidden="false" customHeight="false" outlineLevel="0" collapsed="false">
      <c r="A124" s="11" t="str">
        <f aca="false">IFERROR(IF(INDEX(Inventory!A:A,SMALL($H$5:$H$304,120))="","",INDEX(Inventory!A:A,SMALL($H$5:$H$304,120))),"")</f>
        <v/>
      </c>
      <c r="B124" s="11" t="str">
        <f aca="false">IFERROR(IF(INDEX(Inventory!B:B,SMALL($H$5:$H$304,120))="","",INDEX(Inventory!B:B,SMALL($H$5:$H$304,120))),"")</f>
        <v/>
      </c>
      <c r="C124" s="11" t="str">
        <f aca="false">IFERROR(IF(INDEX(Inventory!C:C,SMALL($H$5:$H$304,120))="","",INDEX(Inventory!C:C,SMALL($H$5:$H$304,120))),"")</f>
        <v/>
      </c>
      <c r="D124" s="11" t="str">
        <f aca="false">IFERROR(IF(INDEX(Inventory!D:D,SMALL($H$5:$H$304,120))="","",INDEX(Inventory!D:D,SMALL($H$5:$H$304,120))),"")</f>
        <v/>
      </c>
      <c r="E124" s="11" t="str">
        <f aca="false">IFERROR(IF(INDEX(Inventory!E:E,SMALL($H$5:$H$304,120))="","",INDEX(Inventory!E:E,SMALL($H$5:$H$304,120))),"")</f>
        <v/>
      </c>
      <c r="F124" s="11" t="str">
        <f aca="false">IFERROR(IF(INDEX(Inventory!F:F,SMALL($H$5:$H$304,120))="","",INDEX(Inventory!F:F,SMALL($H$5:$H$304,120))),"")</f>
        <v/>
      </c>
      <c r="G124" s="11" t="str">
        <f aca="false">IFERROR(IF(INDEX(Inventory!G:G,SMALL($H$5:$H$304,120))="","",INDEX(Inventory!G:G,SMALL($H$5:$H$304,120))),"")</f>
        <v/>
      </c>
      <c r="H124" s="1" t="str">
        <f aca="false">IF(Inventory!A122="","",IF(ISNUMBER(SEARCH($C$2,Inventory!A122)),ROW(Inventory!A122),""))</f>
        <v/>
      </c>
    </row>
    <row r="125" customFormat="false" ht="15" hidden="false" customHeight="false" outlineLevel="0" collapsed="false">
      <c r="A125" s="13" t="str">
        <f aca="false">IFERROR(IF(INDEX(Inventory!A:A,SMALL($H$5:$H$304,121))="","",INDEX(Inventory!A:A,SMALL($H$5:$H$304,121))),"")</f>
        <v/>
      </c>
      <c r="B125" s="13" t="str">
        <f aca="false">IFERROR(IF(INDEX(Inventory!B:B,SMALL($H$5:$H$304,121))="","",INDEX(Inventory!B:B,SMALL($H$5:$H$304,121))),"")</f>
        <v/>
      </c>
      <c r="C125" s="13" t="str">
        <f aca="false">IFERROR(IF(INDEX(Inventory!C:C,SMALL($H$5:$H$304,121))="","",INDEX(Inventory!C:C,SMALL($H$5:$H$304,121))),"")</f>
        <v/>
      </c>
      <c r="D125" s="13" t="str">
        <f aca="false">IFERROR(IF(INDEX(Inventory!D:D,SMALL($H$5:$H$304,121))="","",INDEX(Inventory!D:D,SMALL($H$5:$H$304,121))),"")</f>
        <v/>
      </c>
      <c r="E125" s="13" t="str">
        <f aca="false">IFERROR(IF(INDEX(Inventory!E:E,SMALL($H$5:$H$304,121))="","",INDEX(Inventory!E:E,SMALL($H$5:$H$304,121))),"")</f>
        <v/>
      </c>
      <c r="F125" s="13" t="str">
        <f aca="false">IFERROR(IF(INDEX(Inventory!F:F,SMALL($H$5:$H$304,121))="","",INDEX(Inventory!F:F,SMALL($H$5:$H$304,121))),"")</f>
        <v/>
      </c>
      <c r="G125" s="13" t="str">
        <f aca="false">IFERROR(IF(INDEX(Inventory!G:G,SMALL($H$5:$H$304,121))="","",INDEX(Inventory!G:G,SMALL($H$5:$H$304,121))),"")</f>
        <v/>
      </c>
      <c r="H125" s="1" t="str">
        <f aca="false">IF(Inventory!A123="","",IF(ISNUMBER(SEARCH($C$2,Inventory!A123)),ROW(Inventory!A123),""))</f>
        <v/>
      </c>
    </row>
    <row r="126" customFormat="false" ht="15" hidden="false" customHeight="false" outlineLevel="0" collapsed="false">
      <c r="A126" s="11" t="str">
        <f aca="false">IFERROR(IF(INDEX(Inventory!A:A,SMALL($H$5:$H$304,122))="","",INDEX(Inventory!A:A,SMALL($H$5:$H$304,122))),"")</f>
        <v/>
      </c>
      <c r="B126" s="11" t="str">
        <f aca="false">IFERROR(IF(INDEX(Inventory!B:B,SMALL($H$5:$H$304,122))="","",INDEX(Inventory!B:B,SMALL($H$5:$H$304,122))),"")</f>
        <v/>
      </c>
      <c r="C126" s="11" t="str">
        <f aca="false">IFERROR(IF(INDEX(Inventory!C:C,SMALL($H$5:$H$304,122))="","",INDEX(Inventory!C:C,SMALL($H$5:$H$304,122))),"")</f>
        <v/>
      </c>
      <c r="D126" s="11" t="str">
        <f aca="false">IFERROR(IF(INDEX(Inventory!D:D,SMALL($H$5:$H$304,122))="","",INDEX(Inventory!D:D,SMALL($H$5:$H$304,122))),"")</f>
        <v/>
      </c>
      <c r="E126" s="11" t="str">
        <f aca="false">IFERROR(IF(INDEX(Inventory!E:E,SMALL($H$5:$H$304,122))="","",INDEX(Inventory!E:E,SMALL($H$5:$H$304,122))),"")</f>
        <v/>
      </c>
      <c r="F126" s="11" t="str">
        <f aca="false">IFERROR(IF(INDEX(Inventory!F:F,SMALL($H$5:$H$304,122))="","",INDEX(Inventory!F:F,SMALL($H$5:$H$304,122))),"")</f>
        <v/>
      </c>
      <c r="G126" s="11" t="str">
        <f aca="false">IFERROR(IF(INDEX(Inventory!G:G,SMALL($H$5:$H$304,122))="","",INDEX(Inventory!G:G,SMALL($H$5:$H$304,122))),"")</f>
        <v/>
      </c>
      <c r="H126" s="1" t="str">
        <f aca="false">IF(Inventory!A124="","",IF(ISNUMBER(SEARCH($C$2,Inventory!A124)),ROW(Inventory!A124),""))</f>
        <v/>
      </c>
    </row>
    <row r="127" customFormat="false" ht="15" hidden="false" customHeight="false" outlineLevel="0" collapsed="false">
      <c r="A127" s="13" t="str">
        <f aca="false">IFERROR(IF(INDEX(Inventory!A:A,SMALL($H$5:$H$304,123))="","",INDEX(Inventory!A:A,SMALL($H$5:$H$304,123))),"")</f>
        <v/>
      </c>
      <c r="B127" s="13" t="str">
        <f aca="false">IFERROR(IF(INDEX(Inventory!B:B,SMALL($H$5:$H$304,123))="","",INDEX(Inventory!B:B,SMALL($H$5:$H$304,123))),"")</f>
        <v/>
      </c>
      <c r="C127" s="13" t="str">
        <f aca="false">IFERROR(IF(INDEX(Inventory!C:C,SMALL($H$5:$H$304,123))="","",INDEX(Inventory!C:C,SMALL($H$5:$H$304,123))),"")</f>
        <v/>
      </c>
      <c r="D127" s="13" t="str">
        <f aca="false">IFERROR(IF(INDEX(Inventory!D:D,SMALL($H$5:$H$304,123))="","",INDEX(Inventory!D:D,SMALL($H$5:$H$304,123))),"")</f>
        <v/>
      </c>
      <c r="E127" s="13" t="str">
        <f aca="false">IFERROR(IF(INDEX(Inventory!E:E,SMALL($H$5:$H$304,123))="","",INDEX(Inventory!E:E,SMALL($H$5:$H$304,123))),"")</f>
        <v/>
      </c>
      <c r="F127" s="13" t="str">
        <f aca="false">IFERROR(IF(INDEX(Inventory!F:F,SMALL($H$5:$H$304,123))="","",INDEX(Inventory!F:F,SMALL($H$5:$H$304,123))),"")</f>
        <v/>
      </c>
      <c r="G127" s="13" t="str">
        <f aca="false">IFERROR(IF(INDEX(Inventory!G:G,SMALL($H$5:$H$304,123))="","",INDEX(Inventory!G:G,SMALL($H$5:$H$304,123))),"")</f>
        <v/>
      </c>
      <c r="H127" s="1" t="str">
        <f aca="false">IF(Inventory!A125="","",IF(ISNUMBER(SEARCH($C$2,Inventory!A125)),ROW(Inventory!A125),""))</f>
        <v/>
      </c>
    </row>
    <row r="128" customFormat="false" ht="15" hidden="false" customHeight="false" outlineLevel="0" collapsed="false">
      <c r="A128" s="11" t="str">
        <f aca="false">IFERROR(IF(INDEX(Inventory!A:A,SMALL($H$5:$H$304,124))="","",INDEX(Inventory!A:A,SMALL($H$5:$H$304,124))),"")</f>
        <v/>
      </c>
      <c r="B128" s="11" t="str">
        <f aca="false">IFERROR(IF(INDEX(Inventory!B:B,SMALL($H$5:$H$304,124))="","",INDEX(Inventory!B:B,SMALL($H$5:$H$304,124))),"")</f>
        <v/>
      </c>
      <c r="C128" s="11" t="str">
        <f aca="false">IFERROR(IF(INDEX(Inventory!C:C,SMALL($H$5:$H$304,124))="","",INDEX(Inventory!C:C,SMALL($H$5:$H$304,124))),"")</f>
        <v/>
      </c>
      <c r="D128" s="11" t="str">
        <f aca="false">IFERROR(IF(INDEX(Inventory!D:D,SMALL($H$5:$H$304,124))="","",INDEX(Inventory!D:D,SMALL($H$5:$H$304,124))),"")</f>
        <v/>
      </c>
      <c r="E128" s="11" t="str">
        <f aca="false">IFERROR(IF(INDEX(Inventory!E:E,SMALL($H$5:$H$304,124))="","",INDEX(Inventory!E:E,SMALL($H$5:$H$304,124))),"")</f>
        <v/>
      </c>
      <c r="F128" s="11" t="str">
        <f aca="false">IFERROR(IF(INDEX(Inventory!F:F,SMALL($H$5:$H$304,124))="","",INDEX(Inventory!F:F,SMALL($H$5:$H$304,124))),"")</f>
        <v/>
      </c>
      <c r="G128" s="11" t="str">
        <f aca="false">IFERROR(IF(INDEX(Inventory!G:G,SMALL($H$5:$H$304,124))="","",INDEX(Inventory!G:G,SMALL($H$5:$H$304,124))),"")</f>
        <v/>
      </c>
      <c r="H128" s="1" t="str">
        <f aca="false">IF(Inventory!A126="","",IF(ISNUMBER(SEARCH($C$2,Inventory!A126)),ROW(Inventory!A126),""))</f>
        <v/>
      </c>
    </row>
    <row r="129" customFormat="false" ht="15" hidden="false" customHeight="false" outlineLevel="0" collapsed="false">
      <c r="A129" s="13" t="str">
        <f aca="false">IFERROR(IF(INDEX(Inventory!A:A,SMALL($H$5:$H$304,125))="","",INDEX(Inventory!A:A,SMALL($H$5:$H$304,125))),"")</f>
        <v/>
      </c>
      <c r="B129" s="13" t="str">
        <f aca="false">IFERROR(IF(INDEX(Inventory!B:B,SMALL($H$5:$H$304,125))="","",INDEX(Inventory!B:B,SMALL($H$5:$H$304,125))),"")</f>
        <v/>
      </c>
      <c r="C129" s="13" t="str">
        <f aca="false">IFERROR(IF(INDEX(Inventory!C:C,SMALL($H$5:$H$304,125))="","",INDEX(Inventory!C:C,SMALL($H$5:$H$304,125))),"")</f>
        <v/>
      </c>
      <c r="D129" s="13" t="str">
        <f aca="false">IFERROR(IF(INDEX(Inventory!D:D,SMALL($H$5:$H$304,125))="","",INDEX(Inventory!D:D,SMALL($H$5:$H$304,125))),"")</f>
        <v/>
      </c>
      <c r="E129" s="13" t="str">
        <f aca="false">IFERROR(IF(INDEX(Inventory!E:E,SMALL($H$5:$H$304,125))="","",INDEX(Inventory!E:E,SMALL($H$5:$H$304,125))),"")</f>
        <v/>
      </c>
      <c r="F129" s="13" t="str">
        <f aca="false">IFERROR(IF(INDEX(Inventory!F:F,SMALL($H$5:$H$304,125))="","",INDEX(Inventory!F:F,SMALL($H$5:$H$304,125))),"")</f>
        <v/>
      </c>
      <c r="G129" s="13" t="str">
        <f aca="false">IFERROR(IF(INDEX(Inventory!G:G,SMALL($H$5:$H$304,125))="","",INDEX(Inventory!G:G,SMALL($H$5:$H$304,125))),"")</f>
        <v/>
      </c>
      <c r="H129" s="1" t="str">
        <f aca="false">IF(Inventory!A127="","",IF(ISNUMBER(SEARCH($C$2,Inventory!A127)),ROW(Inventory!A127),""))</f>
        <v/>
      </c>
    </row>
    <row r="130" customFormat="false" ht="15" hidden="false" customHeight="false" outlineLevel="0" collapsed="false">
      <c r="A130" s="11" t="str">
        <f aca="false">IFERROR(IF(INDEX(Inventory!A:A,SMALL($H$5:$H$304,126))="","",INDEX(Inventory!A:A,SMALL($H$5:$H$304,126))),"")</f>
        <v/>
      </c>
      <c r="B130" s="11" t="str">
        <f aca="false">IFERROR(IF(INDEX(Inventory!B:B,SMALL($H$5:$H$304,126))="","",INDEX(Inventory!B:B,SMALL($H$5:$H$304,126))),"")</f>
        <v/>
      </c>
      <c r="C130" s="11" t="str">
        <f aca="false">IFERROR(IF(INDEX(Inventory!C:C,SMALL($H$5:$H$304,126))="","",INDEX(Inventory!C:C,SMALL($H$5:$H$304,126))),"")</f>
        <v/>
      </c>
      <c r="D130" s="11" t="str">
        <f aca="false">IFERROR(IF(INDEX(Inventory!D:D,SMALL($H$5:$H$304,126))="","",INDEX(Inventory!D:D,SMALL($H$5:$H$304,126))),"")</f>
        <v/>
      </c>
      <c r="E130" s="11" t="str">
        <f aca="false">IFERROR(IF(INDEX(Inventory!E:E,SMALL($H$5:$H$304,126))="","",INDEX(Inventory!E:E,SMALL($H$5:$H$304,126))),"")</f>
        <v/>
      </c>
      <c r="F130" s="11" t="str">
        <f aca="false">IFERROR(IF(INDEX(Inventory!F:F,SMALL($H$5:$H$304,126))="","",INDEX(Inventory!F:F,SMALL($H$5:$H$304,126))),"")</f>
        <v/>
      </c>
      <c r="G130" s="11" t="str">
        <f aca="false">IFERROR(IF(INDEX(Inventory!G:G,SMALL($H$5:$H$304,126))="","",INDEX(Inventory!G:G,SMALL($H$5:$H$304,126))),"")</f>
        <v/>
      </c>
      <c r="H130" s="1" t="str">
        <f aca="false">IF(Inventory!A128="","",IF(ISNUMBER(SEARCH($C$2,Inventory!A128)),ROW(Inventory!A128),""))</f>
        <v/>
      </c>
    </row>
    <row r="131" customFormat="false" ht="15" hidden="false" customHeight="false" outlineLevel="0" collapsed="false">
      <c r="A131" s="13" t="str">
        <f aca="false">IFERROR(IF(INDEX(Inventory!A:A,SMALL($H$5:$H$304,127))="","",INDEX(Inventory!A:A,SMALL($H$5:$H$304,127))),"")</f>
        <v/>
      </c>
      <c r="B131" s="13" t="str">
        <f aca="false">IFERROR(IF(INDEX(Inventory!B:B,SMALL($H$5:$H$304,127))="","",INDEX(Inventory!B:B,SMALL($H$5:$H$304,127))),"")</f>
        <v/>
      </c>
      <c r="C131" s="13" t="str">
        <f aca="false">IFERROR(IF(INDEX(Inventory!C:C,SMALL($H$5:$H$304,127))="","",INDEX(Inventory!C:C,SMALL($H$5:$H$304,127))),"")</f>
        <v/>
      </c>
      <c r="D131" s="13" t="str">
        <f aca="false">IFERROR(IF(INDEX(Inventory!D:D,SMALL($H$5:$H$304,127))="","",INDEX(Inventory!D:D,SMALL($H$5:$H$304,127))),"")</f>
        <v/>
      </c>
      <c r="E131" s="13" t="str">
        <f aca="false">IFERROR(IF(INDEX(Inventory!E:E,SMALL($H$5:$H$304,127))="","",INDEX(Inventory!E:E,SMALL($H$5:$H$304,127))),"")</f>
        <v/>
      </c>
      <c r="F131" s="13" t="str">
        <f aca="false">IFERROR(IF(INDEX(Inventory!F:F,SMALL($H$5:$H$304,127))="","",INDEX(Inventory!F:F,SMALL($H$5:$H$304,127))),"")</f>
        <v/>
      </c>
      <c r="G131" s="13" t="str">
        <f aca="false">IFERROR(IF(INDEX(Inventory!G:G,SMALL($H$5:$H$304,127))="","",INDEX(Inventory!G:G,SMALL($H$5:$H$304,127))),"")</f>
        <v/>
      </c>
      <c r="H131" s="1" t="str">
        <f aca="false">IF(Inventory!A129="","",IF(ISNUMBER(SEARCH($C$2,Inventory!A129)),ROW(Inventory!A129),""))</f>
        <v/>
      </c>
    </row>
    <row r="132" customFormat="false" ht="15" hidden="false" customHeight="false" outlineLevel="0" collapsed="false">
      <c r="A132" s="11" t="str">
        <f aca="false">IFERROR(IF(INDEX(Inventory!A:A,SMALL($H$5:$H$304,128))="","",INDEX(Inventory!A:A,SMALL($H$5:$H$304,128))),"")</f>
        <v/>
      </c>
      <c r="B132" s="11" t="str">
        <f aca="false">IFERROR(IF(INDEX(Inventory!B:B,SMALL($H$5:$H$304,128))="","",INDEX(Inventory!B:B,SMALL($H$5:$H$304,128))),"")</f>
        <v/>
      </c>
      <c r="C132" s="11" t="str">
        <f aca="false">IFERROR(IF(INDEX(Inventory!C:C,SMALL($H$5:$H$304,128))="","",INDEX(Inventory!C:C,SMALL($H$5:$H$304,128))),"")</f>
        <v/>
      </c>
      <c r="D132" s="11" t="str">
        <f aca="false">IFERROR(IF(INDEX(Inventory!D:D,SMALL($H$5:$H$304,128))="","",INDEX(Inventory!D:D,SMALL($H$5:$H$304,128))),"")</f>
        <v/>
      </c>
      <c r="E132" s="11" t="str">
        <f aca="false">IFERROR(IF(INDEX(Inventory!E:E,SMALL($H$5:$H$304,128))="","",INDEX(Inventory!E:E,SMALL($H$5:$H$304,128))),"")</f>
        <v/>
      </c>
      <c r="F132" s="11" t="str">
        <f aca="false">IFERROR(IF(INDEX(Inventory!F:F,SMALL($H$5:$H$304,128))="","",INDEX(Inventory!F:F,SMALL($H$5:$H$304,128))),"")</f>
        <v/>
      </c>
      <c r="G132" s="11" t="str">
        <f aca="false">IFERROR(IF(INDEX(Inventory!G:G,SMALL($H$5:$H$304,128))="","",INDEX(Inventory!G:G,SMALL($H$5:$H$304,128))),"")</f>
        <v/>
      </c>
      <c r="H132" s="1" t="str">
        <f aca="false">IF(Inventory!A130="","",IF(ISNUMBER(SEARCH($C$2,Inventory!A130)),ROW(Inventory!A130),""))</f>
        <v/>
      </c>
    </row>
    <row r="133" customFormat="false" ht="15" hidden="false" customHeight="false" outlineLevel="0" collapsed="false">
      <c r="A133" s="13" t="str">
        <f aca="false">IFERROR(IF(INDEX(Inventory!A:A,SMALL($H$5:$H$304,129))="","",INDEX(Inventory!A:A,SMALL($H$5:$H$304,129))),"")</f>
        <v/>
      </c>
      <c r="B133" s="13" t="str">
        <f aca="false">IFERROR(IF(INDEX(Inventory!B:B,SMALL($H$5:$H$304,129))="","",INDEX(Inventory!B:B,SMALL($H$5:$H$304,129))),"")</f>
        <v/>
      </c>
      <c r="C133" s="13" t="str">
        <f aca="false">IFERROR(IF(INDEX(Inventory!C:C,SMALL($H$5:$H$304,129))="","",INDEX(Inventory!C:C,SMALL($H$5:$H$304,129))),"")</f>
        <v/>
      </c>
      <c r="D133" s="13" t="str">
        <f aca="false">IFERROR(IF(INDEX(Inventory!D:D,SMALL($H$5:$H$304,129))="","",INDEX(Inventory!D:D,SMALL($H$5:$H$304,129))),"")</f>
        <v/>
      </c>
      <c r="E133" s="13" t="str">
        <f aca="false">IFERROR(IF(INDEX(Inventory!E:E,SMALL($H$5:$H$304,129))="","",INDEX(Inventory!E:E,SMALL($H$5:$H$304,129))),"")</f>
        <v/>
      </c>
      <c r="F133" s="13" t="str">
        <f aca="false">IFERROR(IF(INDEX(Inventory!F:F,SMALL($H$5:$H$304,129))="","",INDEX(Inventory!F:F,SMALL($H$5:$H$304,129))),"")</f>
        <v/>
      </c>
      <c r="G133" s="13" t="str">
        <f aca="false">IFERROR(IF(INDEX(Inventory!G:G,SMALL($H$5:$H$304,129))="","",INDEX(Inventory!G:G,SMALL($H$5:$H$304,129))),"")</f>
        <v/>
      </c>
      <c r="H133" s="1" t="str">
        <f aca="false">IF(Inventory!A131="","",IF(ISNUMBER(SEARCH($C$2,Inventory!A131)),ROW(Inventory!A131),""))</f>
        <v/>
      </c>
    </row>
    <row r="134" customFormat="false" ht="15" hidden="false" customHeight="false" outlineLevel="0" collapsed="false">
      <c r="A134" s="11" t="str">
        <f aca="false">IFERROR(IF(INDEX(Inventory!A:A,SMALL($H$5:$H$304,130))="","",INDEX(Inventory!A:A,SMALL($H$5:$H$304,130))),"")</f>
        <v/>
      </c>
      <c r="B134" s="11" t="str">
        <f aca="false">IFERROR(IF(INDEX(Inventory!B:B,SMALL($H$5:$H$304,130))="","",INDEX(Inventory!B:B,SMALL($H$5:$H$304,130))),"")</f>
        <v/>
      </c>
      <c r="C134" s="11" t="str">
        <f aca="false">IFERROR(IF(INDEX(Inventory!C:C,SMALL($H$5:$H$304,130))="","",INDEX(Inventory!C:C,SMALL($H$5:$H$304,130))),"")</f>
        <v/>
      </c>
      <c r="D134" s="11" t="str">
        <f aca="false">IFERROR(IF(INDEX(Inventory!D:D,SMALL($H$5:$H$304,130))="","",INDEX(Inventory!D:D,SMALL($H$5:$H$304,130))),"")</f>
        <v/>
      </c>
      <c r="E134" s="11" t="str">
        <f aca="false">IFERROR(IF(INDEX(Inventory!E:E,SMALL($H$5:$H$304,130))="","",INDEX(Inventory!E:E,SMALL($H$5:$H$304,130))),"")</f>
        <v/>
      </c>
      <c r="F134" s="11" t="str">
        <f aca="false">IFERROR(IF(INDEX(Inventory!F:F,SMALL($H$5:$H$304,130))="","",INDEX(Inventory!F:F,SMALL($H$5:$H$304,130))),"")</f>
        <v/>
      </c>
      <c r="G134" s="11" t="str">
        <f aca="false">IFERROR(IF(INDEX(Inventory!G:G,SMALL($H$5:$H$304,130))="","",INDEX(Inventory!G:G,SMALL($H$5:$H$304,130))),"")</f>
        <v/>
      </c>
      <c r="H134" s="1" t="str">
        <f aca="false">IF(Inventory!A132="","",IF(ISNUMBER(SEARCH($C$2,Inventory!A132)),ROW(Inventory!A132),""))</f>
        <v/>
      </c>
    </row>
    <row r="135" customFormat="false" ht="15" hidden="false" customHeight="false" outlineLevel="0" collapsed="false">
      <c r="A135" s="13" t="str">
        <f aca="false">IFERROR(IF(INDEX(Inventory!A:A,SMALL($H$5:$H$304,131))="","",INDEX(Inventory!A:A,SMALL($H$5:$H$304,131))),"")</f>
        <v/>
      </c>
      <c r="B135" s="13" t="str">
        <f aca="false">IFERROR(IF(INDEX(Inventory!B:B,SMALL($H$5:$H$304,131))="","",INDEX(Inventory!B:B,SMALL($H$5:$H$304,131))),"")</f>
        <v/>
      </c>
      <c r="C135" s="13" t="str">
        <f aca="false">IFERROR(IF(INDEX(Inventory!C:C,SMALL($H$5:$H$304,131))="","",INDEX(Inventory!C:C,SMALL($H$5:$H$304,131))),"")</f>
        <v/>
      </c>
      <c r="D135" s="13" t="str">
        <f aca="false">IFERROR(IF(INDEX(Inventory!D:D,SMALL($H$5:$H$304,131))="","",INDEX(Inventory!D:D,SMALL($H$5:$H$304,131))),"")</f>
        <v/>
      </c>
      <c r="E135" s="13" t="str">
        <f aca="false">IFERROR(IF(INDEX(Inventory!E:E,SMALL($H$5:$H$304,131))="","",INDEX(Inventory!E:E,SMALL($H$5:$H$304,131))),"")</f>
        <v/>
      </c>
      <c r="F135" s="13" t="str">
        <f aca="false">IFERROR(IF(INDEX(Inventory!F:F,SMALL($H$5:$H$304,131))="","",INDEX(Inventory!F:F,SMALL($H$5:$H$304,131))),"")</f>
        <v/>
      </c>
      <c r="G135" s="13" t="str">
        <f aca="false">IFERROR(IF(INDEX(Inventory!G:G,SMALL($H$5:$H$304,131))="","",INDEX(Inventory!G:G,SMALL($H$5:$H$304,131))),"")</f>
        <v/>
      </c>
      <c r="H135" s="1" t="str">
        <f aca="false">IF(Inventory!A133="","",IF(ISNUMBER(SEARCH($C$2,Inventory!A133)),ROW(Inventory!A133),""))</f>
        <v/>
      </c>
    </row>
    <row r="136" customFormat="false" ht="15" hidden="false" customHeight="false" outlineLevel="0" collapsed="false">
      <c r="A136" s="11" t="str">
        <f aca="false">IFERROR(IF(INDEX(Inventory!A:A,SMALL($H$5:$H$304,132))="","",INDEX(Inventory!A:A,SMALL($H$5:$H$304,132))),"")</f>
        <v/>
      </c>
      <c r="B136" s="11" t="str">
        <f aca="false">IFERROR(IF(INDEX(Inventory!B:B,SMALL($H$5:$H$304,132))="","",INDEX(Inventory!B:B,SMALL($H$5:$H$304,132))),"")</f>
        <v/>
      </c>
      <c r="C136" s="11" t="str">
        <f aca="false">IFERROR(IF(INDEX(Inventory!C:C,SMALL($H$5:$H$304,132))="","",INDEX(Inventory!C:C,SMALL($H$5:$H$304,132))),"")</f>
        <v/>
      </c>
      <c r="D136" s="11" t="str">
        <f aca="false">IFERROR(IF(INDEX(Inventory!D:D,SMALL($H$5:$H$304,132))="","",INDEX(Inventory!D:D,SMALL($H$5:$H$304,132))),"")</f>
        <v/>
      </c>
      <c r="E136" s="11" t="str">
        <f aca="false">IFERROR(IF(INDEX(Inventory!E:E,SMALL($H$5:$H$304,132))="","",INDEX(Inventory!E:E,SMALL($H$5:$H$304,132))),"")</f>
        <v/>
      </c>
      <c r="F136" s="11" t="str">
        <f aca="false">IFERROR(IF(INDEX(Inventory!F:F,SMALL($H$5:$H$304,132))="","",INDEX(Inventory!F:F,SMALL($H$5:$H$304,132))),"")</f>
        <v/>
      </c>
      <c r="G136" s="11" t="str">
        <f aca="false">IFERROR(IF(INDEX(Inventory!G:G,SMALL($H$5:$H$304,132))="","",INDEX(Inventory!G:G,SMALL($H$5:$H$304,132))),"")</f>
        <v/>
      </c>
      <c r="H136" s="1" t="str">
        <f aca="false">IF(Inventory!A134="","",IF(ISNUMBER(SEARCH($C$2,Inventory!A134)),ROW(Inventory!A134),""))</f>
        <v/>
      </c>
    </row>
    <row r="137" customFormat="false" ht="15" hidden="false" customHeight="false" outlineLevel="0" collapsed="false">
      <c r="A137" s="13" t="str">
        <f aca="false">IFERROR(IF(INDEX(Inventory!A:A,SMALL($H$5:$H$304,133))="","",INDEX(Inventory!A:A,SMALL($H$5:$H$304,133))),"")</f>
        <v/>
      </c>
      <c r="B137" s="13" t="str">
        <f aca="false">IFERROR(IF(INDEX(Inventory!B:B,SMALL($H$5:$H$304,133))="","",INDEX(Inventory!B:B,SMALL($H$5:$H$304,133))),"")</f>
        <v/>
      </c>
      <c r="C137" s="13" t="str">
        <f aca="false">IFERROR(IF(INDEX(Inventory!C:C,SMALL($H$5:$H$304,133))="","",INDEX(Inventory!C:C,SMALL($H$5:$H$304,133))),"")</f>
        <v/>
      </c>
      <c r="D137" s="13" t="str">
        <f aca="false">IFERROR(IF(INDEX(Inventory!D:D,SMALL($H$5:$H$304,133))="","",INDEX(Inventory!D:D,SMALL($H$5:$H$304,133))),"")</f>
        <v/>
      </c>
      <c r="E137" s="13" t="str">
        <f aca="false">IFERROR(IF(INDEX(Inventory!E:E,SMALL($H$5:$H$304,133))="","",INDEX(Inventory!E:E,SMALL($H$5:$H$304,133))),"")</f>
        <v/>
      </c>
      <c r="F137" s="13" t="str">
        <f aca="false">IFERROR(IF(INDEX(Inventory!F:F,SMALL($H$5:$H$304,133))="","",INDEX(Inventory!F:F,SMALL($H$5:$H$304,133))),"")</f>
        <v/>
      </c>
      <c r="G137" s="13" t="str">
        <f aca="false">IFERROR(IF(INDEX(Inventory!G:G,SMALL($H$5:$H$304,133))="","",INDEX(Inventory!G:G,SMALL($H$5:$H$304,133))),"")</f>
        <v/>
      </c>
      <c r="H137" s="1" t="str">
        <f aca="false">IF(Inventory!A135="","",IF(ISNUMBER(SEARCH($C$2,Inventory!A135)),ROW(Inventory!A135),""))</f>
        <v/>
      </c>
    </row>
    <row r="138" customFormat="false" ht="15" hidden="false" customHeight="false" outlineLevel="0" collapsed="false">
      <c r="A138" s="11" t="str">
        <f aca="false">IFERROR(IF(INDEX(Inventory!A:A,SMALL($H$5:$H$304,134))="","",INDEX(Inventory!A:A,SMALL($H$5:$H$304,134))),"")</f>
        <v/>
      </c>
      <c r="B138" s="11" t="str">
        <f aca="false">IFERROR(IF(INDEX(Inventory!B:B,SMALL($H$5:$H$304,134))="","",INDEX(Inventory!B:B,SMALL($H$5:$H$304,134))),"")</f>
        <v/>
      </c>
      <c r="C138" s="11" t="str">
        <f aca="false">IFERROR(IF(INDEX(Inventory!C:C,SMALL($H$5:$H$304,134))="","",INDEX(Inventory!C:C,SMALL($H$5:$H$304,134))),"")</f>
        <v/>
      </c>
      <c r="D138" s="11" t="str">
        <f aca="false">IFERROR(IF(INDEX(Inventory!D:D,SMALL($H$5:$H$304,134))="","",INDEX(Inventory!D:D,SMALL($H$5:$H$304,134))),"")</f>
        <v/>
      </c>
      <c r="E138" s="11" t="str">
        <f aca="false">IFERROR(IF(INDEX(Inventory!E:E,SMALL($H$5:$H$304,134))="","",INDEX(Inventory!E:E,SMALL($H$5:$H$304,134))),"")</f>
        <v/>
      </c>
      <c r="F138" s="11" t="str">
        <f aca="false">IFERROR(IF(INDEX(Inventory!F:F,SMALL($H$5:$H$304,134))="","",INDEX(Inventory!F:F,SMALL($H$5:$H$304,134))),"")</f>
        <v/>
      </c>
      <c r="G138" s="11" t="str">
        <f aca="false">IFERROR(IF(INDEX(Inventory!G:G,SMALL($H$5:$H$304,134))="","",INDEX(Inventory!G:G,SMALL($H$5:$H$304,134))),"")</f>
        <v/>
      </c>
      <c r="H138" s="1" t="str">
        <f aca="false">IF(Inventory!A136="","",IF(ISNUMBER(SEARCH($C$2,Inventory!A136)),ROW(Inventory!A136),""))</f>
        <v/>
      </c>
    </row>
    <row r="139" customFormat="false" ht="15" hidden="false" customHeight="false" outlineLevel="0" collapsed="false">
      <c r="A139" s="13" t="str">
        <f aca="false">IFERROR(IF(INDEX(Inventory!A:A,SMALL($H$5:$H$304,135))="","",INDEX(Inventory!A:A,SMALL($H$5:$H$304,135))),"")</f>
        <v/>
      </c>
      <c r="B139" s="13" t="str">
        <f aca="false">IFERROR(IF(INDEX(Inventory!B:B,SMALL($H$5:$H$304,135))="","",INDEX(Inventory!B:B,SMALL($H$5:$H$304,135))),"")</f>
        <v/>
      </c>
      <c r="C139" s="13" t="str">
        <f aca="false">IFERROR(IF(INDEX(Inventory!C:C,SMALL($H$5:$H$304,135))="","",INDEX(Inventory!C:C,SMALL($H$5:$H$304,135))),"")</f>
        <v/>
      </c>
      <c r="D139" s="13" t="str">
        <f aca="false">IFERROR(IF(INDEX(Inventory!D:D,SMALL($H$5:$H$304,135))="","",INDEX(Inventory!D:D,SMALL($H$5:$H$304,135))),"")</f>
        <v/>
      </c>
      <c r="E139" s="13" t="str">
        <f aca="false">IFERROR(IF(INDEX(Inventory!E:E,SMALL($H$5:$H$304,135))="","",INDEX(Inventory!E:E,SMALL($H$5:$H$304,135))),"")</f>
        <v/>
      </c>
      <c r="F139" s="13" t="str">
        <f aca="false">IFERROR(IF(INDEX(Inventory!F:F,SMALL($H$5:$H$304,135))="","",INDEX(Inventory!F:F,SMALL($H$5:$H$304,135))),"")</f>
        <v/>
      </c>
      <c r="G139" s="13" t="str">
        <f aca="false">IFERROR(IF(INDEX(Inventory!G:G,SMALL($H$5:$H$304,135))="","",INDEX(Inventory!G:G,SMALL($H$5:$H$304,135))),"")</f>
        <v/>
      </c>
      <c r="H139" s="1" t="str">
        <f aca="false">IF(Inventory!A137="","",IF(ISNUMBER(SEARCH($C$2,Inventory!A137)),ROW(Inventory!A137),""))</f>
        <v/>
      </c>
    </row>
    <row r="140" customFormat="false" ht="15" hidden="false" customHeight="false" outlineLevel="0" collapsed="false">
      <c r="A140" s="11" t="str">
        <f aca="false">IFERROR(IF(INDEX(Inventory!A:A,SMALL($H$5:$H$304,136))="","",INDEX(Inventory!A:A,SMALL($H$5:$H$304,136))),"")</f>
        <v/>
      </c>
      <c r="B140" s="11" t="str">
        <f aca="false">IFERROR(IF(INDEX(Inventory!B:B,SMALL($H$5:$H$304,136))="","",INDEX(Inventory!B:B,SMALL($H$5:$H$304,136))),"")</f>
        <v/>
      </c>
      <c r="C140" s="11" t="str">
        <f aca="false">IFERROR(IF(INDEX(Inventory!C:C,SMALL($H$5:$H$304,136))="","",INDEX(Inventory!C:C,SMALL($H$5:$H$304,136))),"")</f>
        <v/>
      </c>
      <c r="D140" s="11" t="str">
        <f aca="false">IFERROR(IF(INDEX(Inventory!D:D,SMALL($H$5:$H$304,136))="","",INDEX(Inventory!D:D,SMALL($H$5:$H$304,136))),"")</f>
        <v/>
      </c>
      <c r="E140" s="11" t="str">
        <f aca="false">IFERROR(IF(INDEX(Inventory!E:E,SMALL($H$5:$H$304,136))="","",INDEX(Inventory!E:E,SMALL($H$5:$H$304,136))),"")</f>
        <v/>
      </c>
      <c r="F140" s="11" t="str">
        <f aca="false">IFERROR(IF(INDEX(Inventory!F:F,SMALL($H$5:$H$304,136))="","",INDEX(Inventory!F:F,SMALL($H$5:$H$304,136))),"")</f>
        <v/>
      </c>
      <c r="G140" s="11" t="str">
        <f aca="false">IFERROR(IF(INDEX(Inventory!G:G,SMALL($H$5:$H$304,136))="","",INDEX(Inventory!G:G,SMALL($H$5:$H$304,136))),"")</f>
        <v/>
      </c>
      <c r="H140" s="1" t="str">
        <f aca="false">IF(Inventory!A138="","",IF(ISNUMBER(SEARCH($C$2,Inventory!A138)),ROW(Inventory!A138),""))</f>
        <v/>
      </c>
    </row>
    <row r="141" customFormat="false" ht="15" hidden="false" customHeight="false" outlineLevel="0" collapsed="false">
      <c r="A141" s="13" t="str">
        <f aca="false">IFERROR(IF(INDEX(Inventory!A:A,SMALL($H$5:$H$304,137))="","",INDEX(Inventory!A:A,SMALL($H$5:$H$304,137))),"")</f>
        <v/>
      </c>
      <c r="B141" s="13" t="str">
        <f aca="false">IFERROR(IF(INDEX(Inventory!B:B,SMALL($H$5:$H$304,137))="","",INDEX(Inventory!B:B,SMALL($H$5:$H$304,137))),"")</f>
        <v/>
      </c>
      <c r="C141" s="13" t="str">
        <f aca="false">IFERROR(IF(INDEX(Inventory!C:C,SMALL($H$5:$H$304,137))="","",INDEX(Inventory!C:C,SMALL($H$5:$H$304,137))),"")</f>
        <v/>
      </c>
      <c r="D141" s="13" t="str">
        <f aca="false">IFERROR(IF(INDEX(Inventory!D:D,SMALL($H$5:$H$304,137))="","",INDEX(Inventory!D:D,SMALL($H$5:$H$304,137))),"")</f>
        <v/>
      </c>
      <c r="E141" s="13" t="str">
        <f aca="false">IFERROR(IF(INDEX(Inventory!E:E,SMALL($H$5:$H$304,137))="","",INDEX(Inventory!E:E,SMALL($H$5:$H$304,137))),"")</f>
        <v/>
      </c>
      <c r="F141" s="13" t="str">
        <f aca="false">IFERROR(IF(INDEX(Inventory!F:F,SMALL($H$5:$H$304,137))="","",INDEX(Inventory!F:F,SMALL($H$5:$H$304,137))),"")</f>
        <v/>
      </c>
      <c r="G141" s="13" t="str">
        <f aca="false">IFERROR(IF(INDEX(Inventory!G:G,SMALL($H$5:$H$304,137))="","",INDEX(Inventory!G:G,SMALL($H$5:$H$304,137))),"")</f>
        <v/>
      </c>
      <c r="H141" s="1" t="str">
        <f aca="false">IF(Inventory!A139="","",IF(ISNUMBER(SEARCH($C$2,Inventory!A139)),ROW(Inventory!A139),""))</f>
        <v/>
      </c>
    </row>
    <row r="142" customFormat="false" ht="15" hidden="false" customHeight="false" outlineLevel="0" collapsed="false">
      <c r="A142" s="11" t="str">
        <f aca="false">IFERROR(IF(INDEX(Inventory!A:A,SMALL($H$5:$H$304,138))="","",INDEX(Inventory!A:A,SMALL($H$5:$H$304,138))),"")</f>
        <v/>
      </c>
      <c r="B142" s="11" t="str">
        <f aca="false">IFERROR(IF(INDEX(Inventory!B:B,SMALL($H$5:$H$304,138))="","",INDEX(Inventory!B:B,SMALL($H$5:$H$304,138))),"")</f>
        <v/>
      </c>
      <c r="C142" s="11" t="str">
        <f aca="false">IFERROR(IF(INDEX(Inventory!C:C,SMALL($H$5:$H$304,138))="","",INDEX(Inventory!C:C,SMALL($H$5:$H$304,138))),"")</f>
        <v/>
      </c>
      <c r="D142" s="11" t="str">
        <f aca="false">IFERROR(IF(INDEX(Inventory!D:D,SMALL($H$5:$H$304,138))="","",INDEX(Inventory!D:D,SMALL($H$5:$H$304,138))),"")</f>
        <v/>
      </c>
      <c r="E142" s="11" t="str">
        <f aca="false">IFERROR(IF(INDEX(Inventory!E:E,SMALL($H$5:$H$304,138))="","",INDEX(Inventory!E:E,SMALL($H$5:$H$304,138))),"")</f>
        <v/>
      </c>
      <c r="F142" s="11" t="str">
        <f aca="false">IFERROR(IF(INDEX(Inventory!F:F,SMALL($H$5:$H$304,138))="","",INDEX(Inventory!F:F,SMALL($H$5:$H$304,138))),"")</f>
        <v/>
      </c>
      <c r="G142" s="11" t="str">
        <f aca="false">IFERROR(IF(INDEX(Inventory!G:G,SMALL($H$5:$H$304,138))="","",INDEX(Inventory!G:G,SMALL($H$5:$H$304,138))),"")</f>
        <v/>
      </c>
      <c r="H142" s="1" t="str">
        <f aca="false">IF(Inventory!A140="","",IF(ISNUMBER(SEARCH($C$2,Inventory!A140)),ROW(Inventory!A140),""))</f>
        <v/>
      </c>
    </row>
    <row r="143" customFormat="false" ht="15" hidden="false" customHeight="false" outlineLevel="0" collapsed="false">
      <c r="A143" s="13" t="str">
        <f aca="false">IFERROR(IF(INDEX(Inventory!A:A,SMALL($H$5:$H$304,139))="","",INDEX(Inventory!A:A,SMALL($H$5:$H$304,139))),"")</f>
        <v/>
      </c>
      <c r="B143" s="13" t="str">
        <f aca="false">IFERROR(IF(INDEX(Inventory!B:B,SMALL($H$5:$H$304,139))="","",INDEX(Inventory!B:B,SMALL($H$5:$H$304,139))),"")</f>
        <v/>
      </c>
      <c r="C143" s="13" t="str">
        <f aca="false">IFERROR(IF(INDEX(Inventory!C:C,SMALL($H$5:$H$304,139))="","",INDEX(Inventory!C:C,SMALL($H$5:$H$304,139))),"")</f>
        <v/>
      </c>
      <c r="D143" s="13" t="str">
        <f aca="false">IFERROR(IF(INDEX(Inventory!D:D,SMALL($H$5:$H$304,139))="","",INDEX(Inventory!D:D,SMALL($H$5:$H$304,139))),"")</f>
        <v/>
      </c>
      <c r="E143" s="13" t="str">
        <f aca="false">IFERROR(IF(INDEX(Inventory!E:E,SMALL($H$5:$H$304,139))="","",INDEX(Inventory!E:E,SMALL($H$5:$H$304,139))),"")</f>
        <v/>
      </c>
      <c r="F143" s="13" t="str">
        <f aca="false">IFERROR(IF(INDEX(Inventory!F:F,SMALL($H$5:$H$304,139))="","",INDEX(Inventory!F:F,SMALL($H$5:$H$304,139))),"")</f>
        <v/>
      </c>
      <c r="G143" s="13" t="str">
        <f aca="false">IFERROR(IF(INDEX(Inventory!G:G,SMALL($H$5:$H$304,139))="","",INDEX(Inventory!G:G,SMALL($H$5:$H$304,139))),"")</f>
        <v/>
      </c>
      <c r="H143" s="1" t="str">
        <f aca="false">IF(Inventory!A141="","",IF(ISNUMBER(SEARCH($C$2,Inventory!A141)),ROW(Inventory!A141),""))</f>
        <v/>
      </c>
    </row>
    <row r="144" customFormat="false" ht="15" hidden="false" customHeight="false" outlineLevel="0" collapsed="false">
      <c r="A144" s="11" t="str">
        <f aca="false">IFERROR(IF(INDEX(Inventory!A:A,SMALL($H$5:$H$304,140))="","",INDEX(Inventory!A:A,SMALL($H$5:$H$304,140))),"")</f>
        <v/>
      </c>
      <c r="B144" s="11" t="str">
        <f aca="false">IFERROR(IF(INDEX(Inventory!B:B,SMALL($H$5:$H$304,140))="","",INDEX(Inventory!B:B,SMALL($H$5:$H$304,140))),"")</f>
        <v/>
      </c>
      <c r="C144" s="11" t="str">
        <f aca="false">IFERROR(IF(INDEX(Inventory!C:C,SMALL($H$5:$H$304,140))="","",INDEX(Inventory!C:C,SMALL($H$5:$H$304,140))),"")</f>
        <v/>
      </c>
      <c r="D144" s="11" t="str">
        <f aca="false">IFERROR(IF(INDEX(Inventory!D:D,SMALL($H$5:$H$304,140))="","",INDEX(Inventory!D:D,SMALL($H$5:$H$304,140))),"")</f>
        <v/>
      </c>
      <c r="E144" s="11" t="str">
        <f aca="false">IFERROR(IF(INDEX(Inventory!E:E,SMALL($H$5:$H$304,140))="","",INDEX(Inventory!E:E,SMALL($H$5:$H$304,140))),"")</f>
        <v/>
      </c>
      <c r="F144" s="11" t="str">
        <f aca="false">IFERROR(IF(INDEX(Inventory!F:F,SMALL($H$5:$H$304,140))="","",INDEX(Inventory!F:F,SMALL($H$5:$H$304,140))),"")</f>
        <v/>
      </c>
      <c r="G144" s="11" t="str">
        <f aca="false">IFERROR(IF(INDEX(Inventory!G:G,SMALL($H$5:$H$304,140))="","",INDEX(Inventory!G:G,SMALL($H$5:$H$304,140))),"")</f>
        <v/>
      </c>
      <c r="H144" s="1" t="str">
        <f aca="false">IF(Inventory!A142="","",IF(ISNUMBER(SEARCH($C$2,Inventory!A142)),ROW(Inventory!A142),""))</f>
        <v/>
      </c>
    </row>
    <row r="145" customFormat="false" ht="15" hidden="false" customHeight="false" outlineLevel="0" collapsed="false">
      <c r="A145" s="13" t="str">
        <f aca="false">IFERROR(IF(INDEX(Inventory!A:A,SMALL($H$5:$H$304,141))="","",INDEX(Inventory!A:A,SMALL($H$5:$H$304,141))),"")</f>
        <v/>
      </c>
      <c r="B145" s="13" t="str">
        <f aca="false">IFERROR(IF(INDEX(Inventory!B:B,SMALL($H$5:$H$304,141))="","",INDEX(Inventory!B:B,SMALL($H$5:$H$304,141))),"")</f>
        <v/>
      </c>
      <c r="C145" s="13" t="str">
        <f aca="false">IFERROR(IF(INDEX(Inventory!C:C,SMALL($H$5:$H$304,141))="","",INDEX(Inventory!C:C,SMALL($H$5:$H$304,141))),"")</f>
        <v/>
      </c>
      <c r="D145" s="13" t="str">
        <f aca="false">IFERROR(IF(INDEX(Inventory!D:D,SMALL($H$5:$H$304,141))="","",INDEX(Inventory!D:D,SMALL($H$5:$H$304,141))),"")</f>
        <v/>
      </c>
      <c r="E145" s="13" t="str">
        <f aca="false">IFERROR(IF(INDEX(Inventory!E:E,SMALL($H$5:$H$304,141))="","",INDEX(Inventory!E:E,SMALL($H$5:$H$304,141))),"")</f>
        <v/>
      </c>
      <c r="F145" s="13" t="str">
        <f aca="false">IFERROR(IF(INDEX(Inventory!F:F,SMALL($H$5:$H$304,141))="","",INDEX(Inventory!F:F,SMALL($H$5:$H$304,141))),"")</f>
        <v/>
      </c>
      <c r="G145" s="13" t="str">
        <f aca="false">IFERROR(IF(INDEX(Inventory!G:G,SMALL($H$5:$H$304,141))="","",INDEX(Inventory!G:G,SMALL($H$5:$H$304,141))),"")</f>
        <v/>
      </c>
      <c r="H145" s="1" t="str">
        <f aca="false">IF(Inventory!A143="","",IF(ISNUMBER(SEARCH($C$2,Inventory!A143)),ROW(Inventory!A143),""))</f>
        <v/>
      </c>
    </row>
    <row r="146" customFormat="false" ht="15" hidden="false" customHeight="false" outlineLevel="0" collapsed="false">
      <c r="A146" s="11" t="str">
        <f aca="false">IFERROR(IF(INDEX(Inventory!A:A,SMALL($H$5:$H$304,142))="","",INDEX(Inventory!A:A,SMALL($H$5:$H$304,142))),"")</f>
        <v/>
      </c>
      <c r="B146" s="11" t="str">
        <f aca="false">IFERROR(IF(INDEX(Inventory!B:B,SMALL($H$5:$H$304,142))="","",INDEX(Inventory!B:B,SMALL($H$5:$H$304,142))),"")</f>
        <v/>
      </c>
      <c r="C146" s="11" t="str">
        <f aca="false">IFERROR(IF(INDEX(Inventory!C:C,SMALL($H$5:$H$304,142))="","",INDEX(Inventory!C:C,SMALL($H$5:$H$304,142))),"")</f>
        <v/>
      </c>
      <c r="D146" s="11" t="str">
        <f aca="false">IFERROR(IF(INDEX(Inventory!D:D,SMALL($H$5:$H$304,142))="","",INDEX(Inventory!D:D,SMALL($H$5:$H$304,142))),"")</f>
        <v/>
      </c>
      <c r="E146" s="11" t="str">
        <f aca="false">IFERROR(IF(INDEX(Inventory!E:E,SMALL($H$5:$H$304,142))="","",INDEX(Inventory!E:E,SMALL($H$5:$H$304,142))),"")</f>
        <v/>
      </c>
      <c r="F146" s="11" t="str">
        <f aca="false">IFERROR(IF(INDEX(Inventory!F:F,SMALL($H$5:$H$304,142))="","",INDEX(Inventory!F:F,SMALL($H$5:$H$304,142))),"")</f>
        <v/>
      </c>
      <c r="G146" s="11" t="str">
        <f aca="false">IFERROR(IF(INDEX(Inventory!G:G,SMALL($H$5:$H$304,142))="","",INDEX(Inventory!G:G,SMALL($H$5:$H$304,142))),"")</f>
        <v/>
      </c>
      <c r="H146" s="1" t="str">
        <f aca="false">IF(Inventory!A144="","",IF(ISNUMBER(SEARCH($C$2,Inventory!A144)),ROW(Inventory!A144),""))</f>
        <v/>
      </c>
    </row>
    <row r="147" customFormat="false" ht="15" hidden="false" customHeight="false" outlineLevel="0" collapsed="false">
      <c r="A147" s="13" t="str">
        <f aca="false">IFERROR(IF(INDEX(Inventory!A:A,SMALL($H$5:$H$304,143))="","",INDEX(Inventory!A:A,SMALL($H$5:$H$304,143))),"")</f>
        <v/>
      </c>
      <c r="B147" s="13" t="str">
        <f aca="false">IFERROR(IF(INDEX(Inventory!B:B,SMALL($H$5:$H$304,143))="","",INDEX(Inventory!B:B,SMALL($H$5:$H$304,143))),"")</f>
        <v/>
      </c>
      <c r="C147" s="13" t="str">
        <f aca="false">IFERROR(IF(INDEX(Inventory!C:C,SMALL($H$5:$H$304,143))="","",INDEX(Inventory!C:C,SMALL($H$5:$H$304,143))),"")</f>
        <v/>
      </c>
      <c r="D147" s="13" t="str">
        <f aca="false">IFERROR(IF(INDEX(Inventory!D:D,SMALL($H$5:$H$304,143))="","",INDEX(Inventory!D:D,SMALL($H$5:$H$304,143))),"")</f>
        <v/>
      </c>
      <c r="E147" s="13" t="str">
        <f aca="false">IFERROR(IF(INDEX(Inventory!E:E,SMALL($H$5:$H$304,143))="","",INDEX(Inventory!E:E,SMALL($H$5:$H$304,143))),"")</f>
        <v/>
      </c>
      <c r="F147" s="13" t="str">
        <f aca="false">IFERROR(IF(INDEX(Inventory!F:F,SMALL($H$5:$H$304,143))="","",INDEX(Inventory!F:F,SMALL($H$5:$H$304,143))),"")</f>
        <v/>
      </c>
      <c r="G147" s="13" t="str">
        <f aca="false">IFERROR(IF(INDEX(Inventory!G:G,SMALL($H$5:$H$304,143))="","",INDEX(Inventory!G:G,SMALL($H$5:$H$304,143))),"")</f>
        <v/>
      </c>
      <c r="H147" s="1" t="str">
        <f aca="false">IF(Inventory!A145="","",IF(ISNUMBER(SEARCH($C$2,Inventory!A145)),ROW(Inventory!A145),""))</f>
        <v/>
      </c>
    </row>
    <row r="148" customFormat="false" ht="15" hidden="false" customHeight="false" outlineLevel="0" collapsed="false">
      <c r="A148" s="11" t="str">
        <f aca="false">IFERROR(IF(INDEX(Inventory!A:A,SMALL($H$5:$H$304,144))="","",INDEX(Inventory!A:A,SMALL($H$5:$H$304,144))),"")</f>
        <v/>
      </c>
      <c r="B148" s="11" t="str">
        <f aca="false">IFERROR(IF(INDEX(Inventory!B:B,SMALL($H$5:$H$304,144))="","",INDEX(Inventory!B:B,SMALL($H$5:$H$304,144))),"")</f>
        <v/>
      </c>
      <c r="C148" s="11" t="str">
        <f aca="false">IFERROR(IF(INDEX(Inventory!C:C,SMALL($H$5:$H$304,144))="","",INDEX(Inventory!C:C,SMALL($H$5:$H$304,144))),"")</f>
        <v/>
      </c>
      <c r="D148" s="11" t="str">
        <f aca="false">IFERROR(IF(INDEX(Inventory!D:D,SMALL($H$5:$H$304,144))="","",INDEX(Inventory!D:D,SMALL($H$5:$H$304,144))),"")</f>
        <v/>
      </c>
      <c r="E148" s="11" t="str">
        <f aca="false">IFERROR(IF(INDEX(Inventory!E:E,SMALL($H$5:$H$304,144))="","",INDEX(Inventory!E:E,SMALL($H$5:$H$304,144))),"")</f>
        <v/>
      </c>
      <c r="F148" s="11" t="str">
        <f aca="false">IFERROR(IF(INDEX(Inventory!F:F,SMALL($H$5:$H$304,144))="","",INDEX(Inventory!F:F,SMALL($H$5:$H$304,144))),"")</f>
        <v/>
      </c>
      <c r="G148" s="11" t="str">
        <f aca="false">IFERROR(IF(INDEX(Inventory!G:G,SMALL($H$5:$H$304,144))="","",INDEX(Inventory!G:G,SMALL($H$5:$H$304,144))),"")</f>
        <v/>
      </c>
      <c r="H148" s="1" t="str">
        <f aca="false">IF(Inventory!A146="","",IF(ISNUMBER(SEARCH($C$2,Inventory!A146)),ROW(Inventory!A146),""))</f>
        <v/>
      </c>
    </row>
    <row r="149" customFormat="false" ht="15" hidden="false" customHeight="false" outlineLevel="0" collapsed="false">
      <c r="A149" s="13" t="str">
        <f aca="false">IFERROR(IF(INDEX(Inventory!A:A,SMALL($H$5:$H$304,145))="","",INDEX(Inventory!A:A,SMALL($H$5:$H$304,145))),"")</f>
        <v/>
      </c>
      <c r="B149" s="13" t="str">
        <f aca="false">IFERROR(IF(INDEX(Inventory!B:B,SMALL($H$5:$H$304,145))="","",INDEX(Inventory!B:B,SMALL($H$5:$H$304,145))),"")</f>
        <v/>
      </c>
      <c r="C149" s="13" t="str">
        <f aca="false">IFERROR(IF(INDEX(Inventory!C:C,SMALL($H$5:$H$304,145))="","",INDEX(Inventory!C:C,SMALL($H$5:$H$304,145))),"")</f>
        <v/>
      </c>
      <c r="D149" s="13" t="str">
        <f aca="false">IFERROR(IF(INDEX(Inventory!D:D,SMALL($H$5:$H$304,145))="","",INDEX(Inventory!D:D,SMALL($H$5:$H$304,145))),"")</f>
        <v/>
      </c>
      <c r="E149" s="13" t="str">
        <f aca="false">IFERROR(IF(INDEX(Inventory!E:E,SMALL($H$5:$H$304,145))="","",INDEX(Inventory!E:E,SMALL($H$5:$H$304,145))),"")</f>
        <v/>
      </c>
      <c r="F149" s="13" t="str">
        <f aca="false">IFERROR(IF(INDEX(Inventory!F:F,SMALL($H$5:$H$304,145))="","",INDEX(Inventory!F:F,SMALL($H$5:$H$304,145))),"")</f>
        <v/>
      </c>
      <c r="G149" s="13" t="str">
        <f aca="false">IFERROR(IF(INDEX(Inventory!G:G,SMALL($H$5:$H$304,145))="","",INDEX(Inventory!G:G,SMALL($H$5:$H$304,145))),"")</f>
        <v/>
      </c>
      <c r="H149" s="1" t="str">
        <f aca="false">IF(Inventory!A147="","",IF(ISNUMBER(SEARCH($C$2,Inventory!A147)),ROW(Inventory!A147),""))</f>
        <v/>
      </c>
    </row>
    <row r="150" customFormat="false" ht="15" hidden="false" customHeight="false" outlineLevel="0" collapsed="false">
      <c r="A150" s="11" t="str">
        <f aca="false">IFERROR(IF(INDEX(Inventory!A:A,SMALL($H$5:$H$304,146))="","",INDEX(Inventory!A:A,SMALL($H$5:$H$304,146))),"")</f>
        <v/>
      </c>
      <c r="B150" s="11" t="str">
        <f aca="false">IFERROR(IF(INDEX(Inventory!B:B,SMALL($H$5:$H$304,146))="","",INDEX(Inventory!B:B,SMALL($H$5:$H$304,146))),"")</f>
        <v/>
      </c>
      <c r="C150" s="11" t="str">
        <f aca="false">IFERROR(IF(INDEX(Inventory!C:C,SMALL($H$5:$H$304,146))="","",INDEX(Inventory!C:C,SMALL($H$5:$H$304,146))),"")</f>
        <v/>
      </c>
      <c r="D150" s="11" t="str">
        <f aca="false">IFERROR(IF(INDEX(Inventory!D:D,SMALL($H$5:$H$304,146))="","",INDEX(Inventory!D:D,SMALL($H$5:$H$304,146))),"")</f>
        <v/>
      </c>
      <c r="E150" s="11" t="str">
        <f aca="false">IFERROR(IF(INDEX(Inventory!E:E,SMALL($H$5:$H$304,146))="","",INDEX(Inventory!E:E,SMALL($H$5:$H$304,146))),"")</f>
        <v/>
      </c>
      <c r="F150" s="11" t="str">
        <f aca="false">IFERROR(IF(INDEX(Inventory!F:F,SMALL($H$5:$H$304,146))="","",INDEX(Inventory!F:F,SMALL($H$5:$H$304,146))),"")</f>
        <v/>
      </c>
      <c r="G150" s="11" t="str">
        <f aca="false">IFERROR(IF(INDEX(Inventory!G:G,SMALL($H$5:$H$304,146))="","",INDEX(Inventory!G:G,SMALL($H$5:$H$304,146))),"")</f>
        <v/>
      </c>
      <c r="H150" s="1" t="str">
        <f aca="false">IF(Inventory!A148="","",IF(ISNUMBER(SEARCH($C$2,Inventory!A148)),ROW(Inventory!A148),""))</f>
        <v/>
      </c>
    </row>
    <row r="151" customFormat="false" ht="15" hidden="false" customHeight="false" outlineLevel="0" collapsed="false">
      <c r="A151" s="13" t="str">
        <f aca="false">IFERROR(IF(INDEX(Inventory!A:A,SMALL($H$5:$H$304,147))="","",INDEX(Inventory!A:A,SMALL($H$5:$H$304,147))),"")</f>
        <v/>
      </c>
      <c r="B151" s="13" t="str">
        <f aca="false">IFERROR(IF(INDEX(Inventory!B:B,SMALL($H$5:$H$304,147))="","",INDEX(Inventory!B:B,SMALL($H$5:$H$304,147))),"")</f>
        <v/>
      </c>
      <c r="C151" s="13" t="str">
        <f aca="false">IFERROR(IF(INDEX(Inventory!C:C,SMALL($H$5:$H$304,147))="","",INDEX(Inventory!C:C,SMALL($H$5:$H$304,147))),"")</f>
        <v/>
      </c>
      <c r="D151" s="13" t="str">
        <f aca="false">IFERROR(IF(INDEX(Inventory!D:D,SMALL($H$5:$H$304,147))="","",INDEX(Inventory!D:D,SMALL($H$5:$H$304,147))),"")</f>
        <v/>
      </c>
      <c r="E151" s="13" t="str">
        <f aca="false">IFERROR(IF(INDEX(Inventory!E:E,SMALL($H$5:$H$304,147))="","",INDEX(Inventory!E:E,SMALL($H$5:$H$304,147))),"")</f>
        <v/>
      </c>
      <c r="F151" s="13" t="str">
        <f aca="false">IFERROR(IF(INDEX(Inventory!F:F,SMALL($H$5:$H$304,147))="","",INDEX(Inventory!F:F,SMALL($H$5:$H$304,147))),"")</f>
        <v/>
      </c>
      <c r="G151" s="13" t="str">
        <f aca="false">IFERROR(IF(INDEX(Inventory!G:G,SMALL($H$5:$H$304,147))="","",INDEX(Inventory!G:G,SMALL($H$5:$H$304,147))),"")</f>
        <v/>
      </c>
      <c r="H151" s="1" t="str">
        <f aca="false">IF(Inventory!A149="","",IF(ISNUMBER(SEARCH($C$2,Inventory!A149)),ROW(Inventory!A149),""))</f>
        <v/>
      </c>
    </row>
    <row r="152" customFormat="false" ht="15" hidden="false" customHeight="false" outlineLevel="0" collapsed="false">
      <c r="A152" s="11" t="str">
        <f aca="false">IFERROR(IF(INDEX(Inventory!A:A,SMALL($H$5:$H$304,148))="","",INDEX(Inventory!A:A,SMALL($H$5:$H$304,148))),"")</f>
        <v/>
      </c>
      <c r="B152" s="11" t="str">
        <f aca="false">IFERROR(IF(INDEX(Inventory!B:B,SMALL($H$5:$H$304,148))="","",INDEX(Inventory!B:B,SMALL($H$5:$H$304,148))),"")</f>
        <v/>
      </c>
      <c r="C152" s="11" t="str">
        <f aca="false">IFERROR(IF(INDEX(Inventory!C:C,SMALL($H$5:$H$304,148))="","",INDEX(Inventory!C:C,SMALL($H$5:$H$304,148))),"")</f>
        <v/>
      </c>
      <c r="D152" s="11" t="str">
        <f aca="false">IFERROR(IF(INDEX(Inventory!D:D,SMALL($H$5:$H$304,148))="","",INDEX(Inventory!D:D,SMALL($H$5:$H$304,148))),"")</f>
        <v/>
      </c>
      <c r="E152" s="11" t="str">
        <f aca="false">IFERROR(IF(INDEX(Inventory!E:E,SMALL($H$5:$H$304,148))="","",INDEX(Inventory!E:E,SMALL($H$5:$H$304,148))),"")</f>
        <v/>
      </c>
      <c r="F152" s="11" t="str">
        <f aca="false">IFERROR(IF(INDEX(Inventory!F:F,SMALL($H$5:$H$304,148))="","",INDEX(Inventory!F:F,SMALL($H$5:$H$304,148))),"")</f>
        <v/>
      </c>
      <c r="G152" s="11" t="str">
        <f aca="false">IFERROR(IF(INDEX(Inventory!G:G,SMALL($H$5:$H$304,148))="","",INDEX(Inventory!G:G,SMALL($H$5:$H$304,148))),"")</f>
        <v/>
      </c>
      <c r="H152" s="1" t="str">
        <f aca="false">IF(Inventory!A150="","",IF(ISNUMBER(SEARCH($C$2,Inventory!A150)),ROW(Inventory!A150),""))</f>
        <v/>
      </c>
    </row>
    <row r="153" customFormat="false" ht="15" hidden="false" customHeight="false" outlineLevel="0" collapsed="false">
      <c r="A153" s="13" t="str">
        <f aca="false">IFERROR(IF(INDEX(Inventory!A:A,SMALL($H$5:$H$304,149))="","",INDEX(Inventory!A:A,SMALL($H$5:$H$304,149))),"")</f>
        <v/>
      </c>
      <c r="B153" s="13" t="str">
        <f aca="false">IFERROR(IF(INDEX(Inventory!B:B,SMALL($H$5:$H$304,149))="","",INDEX(Inventory!B:B,SMALL($H$5:$H$304,149))),"")</f>
        <v/>
      </c>
      <c r="C153" s="13" t="str">
        <f aca="false">IFERROR(IF(INDEX(Inventory!C:C,SMALL($H$5:$H$304,149))="","",INDEX(Inventory!C:C,SMALL($H$5:$H$304,149))),"")</f>
        <v/>
      </c>
      <c r="D153" s="13" t="str">
        <f aca="false">IFERROR(IF(INDEX(Inventory!D:D,SMALL($H$5:$H$304,149))="","",INDEX(Inventory!D:D,SMALL($H$5:$H$304,149))),"")</f>
        <v/>
      </c>
      <c r="E153" s="13" t="str">
        <f aca="false">IFERROR(IF(INDEX(Inventory!E:E,SMALL($H$5:$H$304,149))="","",INDEX(Inventory!E:E,SMALL($H$5:$H$304,149))),"")</f>
        <v/>
      </c>
      <c r="F153" s="13" t="str">
        <f aca="false">IFERROR(IF(INDEX(Inventory!F:F,SMALL($H$5:$H$304,149))="","",INDEX(Inventory!F:F,SMALL($H$5:$H$304,149))),"")</f>
        <v/>
      </c>
      <c r="G153" s="13" t="str">
        <f aca="false">IFERROR(IF(INDEX(Inventory!G:G,SMALL($H$5:$H$304,149))="","",INDEX(Inventory!G:G,SMALL($H$5:$H$304,149))),"")</f>
        <v/>
      </c>
      <c r="H153" s="1" t="str">
        <f aca="false">IF(Inventory!A151="","",IF(ISNUMBER(SEARCH($C$2,Inventory!A151)),ROW(Inventory!A151),""))</f>
        <v/>
      </c>
    </row>
    <row r="154" customFormat="false" ht="15" hidden="false" customHeight="false" outlineLevel="0" collapsed="false">
      <c r="A154" s="11" t="str">
        <f aca="false">IFERROR(IF(INDEX(Inventory!A:A,SMALL($H$5:$H$304,150))="","",INDEX(Inventory!A:A,SMALL($H$5:$H$304,150))),"")</f>
        <v/>
      </c>
      <c r="B154" s="11" t="str">
        <f aca="false">IFERROR(IF(INDEX(Inventory!B:B,SMALL($H$5:$H$304,150))="","",INDEX(Inventory!B:B,SMALL($H$5:$H$304,150))),"")</f>
        <v/>
      </c>
      <c r="C154" s="11" t="str">
        <f aca="false">IFERROR(IF(INDEX(Inventory!C:C,SMALL($H$5:$H$304,150))="","",INDEX(Inventory!C:C,SMALL($H$5:$H$304,150))),"")</f>
        <v/>
      </c>
      <c r="D154" s="11" t="str">
        <f aca="false">IFERROR(IF(INDEX(Inventory!D:D,SMALL($H$5:$H$304,150))="","",INDEX(Inventory!D:D,SMALL($H$5:$H$304,150))),"")</f>
        <v/>
      </c>
      <c r="E154" s="11" t="str">
        <f aca="false">IFERROR(IF(INDEX(Inventory!E:E,SMALL($H$5:$H$304,150))="","",INDEX(Inventory!E:E,SMALL($H$5:$H$304,150))),"")</f>
        <v/>
      </c>
      <c r="F154" s="11" t="str">
        <f aca="false">IFERROR(IF(INDEX(Inventory!F:F,SMALL($H$5:$H$304,150))="","",INDEX(Inventory!F:F,SMALL($H$5:$H$304,150))),"")</f>
        <v/>
      </c>
      <c r="G154" s="11" t="str">
        <f aca="false">IFERROR(IF(INDEX(Inventory!G:G,SMALL($H$5:$H$304,150))="","",INDEX(Inventory!G:G,SMALL($H$5:$H$304,150))),"")</f>
        <v/>
      </c>
      <c r="H154" s="1" t="str">
        <f aca="false">IF(Inventory!A152="","",IF(ISNUMBER(SEARCH($C$2,Inventory!A152)),ROW(Inventory!A152),""))</f>
        <v/>
      </c>
    </row>
    <row r="155" customFormat="false" ht="15" hidden="false" customHeight="false" outlineLevel="0" collapsed="false">
      <c r="A155" s="13" t="str">
        <f aca="false">IFERROR(IF(INDEX(Inventory!A:A,SMALL($H$5:$H$304,151))="","",INDEX(Inventory!A:A,SMALL($H$5:$H$304,151))),"")</f>
        <v/>
      </c>
      <c r="B155" s="13" t="str">
        <f aca="false">IFERROR(IF(INDEX(Inventory!B:B,SMALL($H$5:$H$304,151))="","",INDEX(Inventory!B:B,SMALL($H$5:$H$304,151))),"")</f>
        <v/>
      </c>
      <c r="C155" s="13" t="str">
        <f aca="false">IFERROR(IF(INDEX(Inventory!C:C,SMALL($H$5:$H$304,151))="","",INDEX(Inventory!C:C,SMALL($H$5:$H$304,151))),"")</f>
        <v/>
      </c>
      <c r="D155" s="13" t="str">
        <f aca="false">IFERROR(IF(INDEX(Inventory!D:D,SMALL($H$5:$H$304,151))="","",INDEX(Inventory!D:D,SMALL($H$5:$H$304,151))),"")</f>
        <v/>
      </c>
      <c r="E155" s="13" t="str">
        <f aca="false">IFERROR(IF(INDEX(Inventory!E:E,SMALL($H$5:$H$304,151))="","",INDEX(Inventory!E:E,SMALL($H$5:$H$304,151))),"")</f>
        <v/>
      </c>
      <c r="F155" s="13" t="str">
        <f aca="false">IFERROR(IF(INDEX(Inventory!F:F,SMALL($H$5:$H$304,151))="","",INDEX(Inventory!F:F,SMALL($H$5:$H$304,151))),"")</f>
        <v/>
      </c>
      <c r="G155" s="13" t="str">
        <f aca="false">IFERROR(IF(INDEX(Inventory!G:G,SMALL($H$5:$H$304,151))="","",INDEX(Inventory!G:G,SMALL($H$5:$H$304,151))),"")</f>
        <v/>
      </c>
      <c r="H155" s="1" t="str">
        <f aca="false">IF(Inventory!A153="","",IF(ISNUMBER(SEARCH($C$2,Inventory!A153)),ROW(Inventory!A153),""))</f>
        <v/>
      </c>
    </row>
    <row r="156" customFormat="false" ht="15" hidden="false" customHeight="false" outlineLevel="0" collapsed="false">
      <c r="A156" s="11" t="str">
        <f aca="false">IFERROR(IF(INDEX(Inventory!A:A,SMALL($H$5:$H$304,152))="","",INDEX(Inventory!A:A,SMALL($H$5:$H$304,152))),"")</f>
        <v/>
      </c>
      <c r="B156" s="11" t="str">
        <f aca="false">IFERROR(IF(INDEX(Inventory!B:B,SMALL($H$5:$H$304,152))="","",INDEX(Inventory!B:B,SMALL($H$5:$H$304,152))),"")</f>
        <v/>
      </c>
      <c r="C156" s="11" t="str">
        <f aca="false">IFERROR(IF(INDEX(Inventory!C:C,SMALL($H$5:$H$304,152))="","",INDEX(Inventory!C:C,SMALL($H$5:$H$304,152))),"")</f>
        <v/>
      </c>
      <c r="D156" s="11" t="str">
        <f aca="false">IFERROR(IF(INDEX(Inventory!D:D,SMALL($H$5:$H$304,152))="","",INDEX(Inventory!D:D,SMALL($H$5:$H$304,152))),"")</f>
        <v/>
      </c>
      <c r="E156" s="11" t="str">
        <f aca="false">IFERROR(IF(INDEX(Inventory!E:E,SMALL($H$5:$H$304,152))="","",INDEX(Inventory!E:E,SMALL($H$5:$H$304,152))),"")</f>
        <v/>
      </c>
      <c r="F156" s="11" t="str">
        <f aca="false">IFERROR(IF(INDEX(Inventory!F:F,SMALL($H$5:$H$304,152))="","",INDEX(Inventory!F:F,SMALL($H$5:$H$304,152))),"")</f>
        <v/>
      </c>
      <c r="G156" s="11" t="str">
        <f aca="false">IFERROR(IF(INDEX(Inventory!G:G,SMALL($H$5:$H$304,152))="","",INDEX(Inventory!G:G,SMALL($H$5:$H$304,152))),"")</f>
        <v/>
      </c>
      <c r="H156" s="1" t="str">
        <f aca="false">IF(Inventory!A154="","",IF(ISNUMBER(SEARCH($C$2,Inventory!A154)),ROW(Inventory!A154),""))</f>
        <v/>
      </c>
    </row>
    <row r="157" customFormat="false" ht="15" hidden="false" customHeight="false" outlineLevel="0" collapsed="false">
      <c r="A157" s="13" t="str">
        <f aca="false">IFERROR(IF(INDEX(Inventory!A:A,SMALL($H$5:$H$304,153))="","",INDEX(Inventory!A:A,SMALL($H$5:$H$304,153))),"")</f>
        <v/>
      </c>
      <c r="B157" s="13" t="str">
        <f aca="false">IFERROR(IF(INDEX(Inventory!B:B,SMALL($H$5:$H$304,153))="","",INDEX(Inventory!B:B,SMALL($H$5:$H$304,153))),"")</f>
        <v/>
      </c>
      <c r="C157" s="13" t="str">
        <f aca="false">IFERROR(IF(INDEX(Inventory!C:C,SMALL($H$5:$H$304,153))="","",INDEX(Inventory!C:C,SMALL($H$5:$H$304,153))),"")</f>
        <v/>
      </c>
      <c r="D157" s="13" t="str">
        <f aca="false">IFERROR(IF(INDEX(Inventory!D:D,SMALL($H$5:$H$304,153))="","",INDEX(Inventory!D:D,SMALL($H$5:$H$304,153))),"")</f>
        <v/>
      </c>
      <c r="E157" s="13" t="str">
        <f aca="false">IFERROR(IF(INDEX(Inventory!E:E,SMALL($H$5:$H$304,153))="","",INDEX(Inventory!E:E,SMALL($H$5:$H$304,153))),"")</f>
        <v/>
      </c>
      <c r="F157" s="13" t="str">
        <f aca="false">IFERROR(IF(INDEX(Inventory!F:F,SMALL($H$5:$H$304,153))="","",INDEX(Inventory!F:F,SMALL($H$5:$H$304,153))),"")</f>
        <v/>
      </c>
      <c r="G157" s="13" t="str">
        <f aca="false">IFERROR(IF(INDEX(Inventory!G:G,SMALL($H$5:$H$304,153))="","",INDEX(Inventory!G:G,SMALL($H$5:$H$304,153))),"")</f>
        <v/>
      </c>
      <c r="H157" s="1" t="str">
        <f aca="false">IF(Inventory!A155="","",IF(ISNUMBER(SEARCH($C$2,Inventory!A155)),ROW(Inventory!A155),""))</f>
        <v/>
      </c>
    </row>
    <row r="158" customFormat="false" ht="15" hidden="false" customHeight="false" outlineLevel="0" collapsed="false">
      <c r="A158" s="11" t="str">
        <f aca="false">IFERROR(IF(INDEX(Inventory!A:A,SMALL($H$5:$H$304,154))="","",INDEX(Inventory!A:A,SMALL($H$5:$H$304,154))),"")</f>
        <v/>
      </c>
      <c r="B158" s="11" t="str">
        <f aca="false">IFERROR(IF(INDEX(Inventory!B:B,SMALL($H$5:$H$304,154))="","",INDEX(Inventory!B:B,SMALL($H$5:$H$304,154))),"")</f>
        <v/>
      </c>
      <c r="C158" s="11" t="str">
        <f aca="false">IFERROR(IF(INDEX(Inventory!C:C,SMALL($H$5:$H$304,154))="","",INDEX(Inventory!C:C,SMALL($H$5:$H$304,154))),"")</f>
        <v/>
      </c>
      <c r="D158" s="11" t="str">
        <f aca="false">IFERROR(IF(INDEX(Inventory!D:D,SMALL($H$5:$H$304,154))="","",INDEX(Inventory!D:D,SMALL($H$5:$H$304,154))),"")</f>
        <v/>
      </c>
      <c r="E158" s="11" t="str">
        <f aca="false">IFERROR(IF(INDEX(Inventory!E:E,SMALL($H$5:$H$304,154))="","",INDEX(Inventory!E:E,SMALL($H$5:$H$304,154))),"")</f>
        <v/>
      </c>
      <c r="F158" s="11" t="str">
        <f aca="false">IFERROR(IF(INDEX(Inventory!F:F,SMALL($H$5:$H$304,154))="","",INDEX(Inventory!F:F,SMALL($H$5:$H$304,154))),"")</f>
        <v/>
      </c>
      <c r="G158" s="11" t="str">
        <f aca="false">IFERROR(IF(INDEX(Inventory!G:G,SMALL($H$5:$H$304,154))="","",INDEX(Inventory!G:G,SMALL($H$5:$H$304,154))),"")</f>
        <v/>
      </c>
      <c r="H158" s="1" t="str">
        <f aca="false">IF(Inventory!A156="","",IF(ISNUMBER(SEARCH($C$2,Inventory!A156)),ROW(Inventory!A156),""))</f>
        <v/>
      </c>
    </row>
    <row r="159" customFormat="false" ht="15" hidden="false" customHeight="false" outlineLevel="0" collapsed="false">
      <c r="A159" s="13" t="str">
        <f aca="false">IFERROR(IF(INDEX(Inventory!A:A,SMALL($H$5:$H$304,155))="","",INDEX(Inventory!A:A,SMALL($H$5:$H$304,155))),"")</f>
        <v/>
      </c>
      <c r="B159" s="13" t="str">
        <f aca="false">IFERROR(IF(INDEX(Inventory!B:B,SMALL($H$5:$H$304,155))="","",INDEX(Inventory!B:B,SMALL($H$5:$H$304,155))),"")</f>
        <v/>
      </c>
      <c r="C159" s="13" t="str">
        <f aca="false">IFERROR(IF(INDEX(Inventory!C:C,SMALL($H$5:$H$304,155))="","",INDEX(Inventory!C:C,SMALL($H$5:$H$304,155))),"")</f>
        <v/>
      </c>
      <c r="D159" s="13" t="str">
        <f aca="false">IFERROR(IF(INDEX(Inventory!D:D,SMALL($H$5:$H$304,155))="","",INDEX(Inventory!D:D,SMALL($H$5:$H$304,155))),"")</f>
        <v/>
      </c>
      <c r="E159" s="13" t="str">
        <f aca="false">IFERROR(IF(INDEX(Inventory!E:E,SMALL($H$5:$H$304,155))="","",INDEX(Inventory!E:E,SMALL($H$5:$H$304,155))),"")</f>
        <v/>
      </c>
      <c r="F159" s="13" t="str">
        <f aca="false">IFERROR(IF(INDEX(Inventory!F:F,SMALL($H$5:$H$304,155))="","",INDEX(Inventory!F:F,SMALL($H$5:$H$304,155))),"")</f>
        <v/>
      </c>
      <c r="G159" s="13" t="str">
        <f aca="false">IFERROR(IF(INDEX(Inventory!G:G,SMALL($H$5:$H$304,155))="","",INDEX(Inventory!G:G,SMALL($H$5:$H$304,155))),"")</f>
        <v/>
      </c>
      <c r="H159" s="1" t="str">
        <f aca="false">IF(Inventory!A157="","",IF(ISNUMBER(SEARCH($C$2,Inventory!A157)),ROW(Inventory!A157),""))</f>
        <v/>
      </c>
    </row>
    <row r="160" customFormat="false" ht="15" hidden="false" customHeight="false" outlineLevel="0" collapsed="false">
      <c r="A160" s="11" t="str">
        <f aca="false">IFERROR(IF(INDEX(Inventory!A:A,SMALL($H$5:$H$304,156))="","",INDEX(Inventory!A:A,SMALL($H$5:$H$304,156))),"")</f>
        <v/>
      </c>
      <c r="B160" s="11" t="str">
        <f aca="false">IFERROR(IF(INDEX(Inventory!B:B,SMALL($H$5:$H$304,156))="","",INDEX(Inventory!B:B,SMALL($H$5:$H$304,156))),"")</f>
        <v/>
      </c>
      <c r="C160" s="11" t="str">
        <f aca="false">IFERROR(IF(INDEX(Inventory!C:C,SMALL($H$5:$H$304,156))="","",INDEX(Inventory!C:C,SMALL($H$5:$H$304,156))),"")</f>
        <v/>
      </c>
      <c r="D160" s="11" t="str">
        <f aca="false">IFERROR(IF(INDEX(Inventory!D:D,SMALL($H$5:$H$304,156))="","",INDEX(Inventory!D:D,SMALL($H$5:$H$304,156))),"")</f>
        <v/>
      </c>
      <c r="E160" s="11" t="str">
        <f aca="false">IFERROR(IF(INDEX(Inventory!E:E,SMALL($H$5:$H$304,156))="","",INDEX(Inventory!E:E,SMALL($H$5:$H$304,156))),"")</f>
        <v/>
      </c>
      <c r="F160" s="11" t="str">
        <f aca="false">IFERROR(IF(INDEX(Inventory!F:F,SMALL($H$5:$H$304,156))="","",INDEX(Inventory!F:F,SMALL($H$5:$H$304,156))),"")</f>
        <v/>
      </c>
      <c r="G160" s="11" t="str">
        <f aca="false">IFERROR(IF(INDEX(Inventory!G:G,SMALL($H$5:$H$304,156))="","",INDEX(Inventory!G:G,SMALL($H$5:$H$304,156))),"")</f>
        <v/>
      </c>
      <c r="H160" s="1" t="str">
        <f aca="false">IF(Inventory!A158="","",IF(ISNUMBER(SEARCH($C$2,Inventory!A158)),ROW(Inventory!A158),""))</f>
        <v/>
      </c>
    </row>
    <row r="161" customFormat="false" ht="15" hidden="false" customHeight="false" outlineLevel="0" collapsed="false">
      <c r="A161" s="13" t="str">
        <f aca="false">IFERROR(IF(INDEX(Inventory!A:A,SMALL($H$5:$H$304,157))="","",INDEX(Inventory!A:A,SMALL($H$5:$H$304,157))),"")</f>
        <v/>
      </c>
      <c r="B161" s="13" t="str">
        <f aca="false">IFERROR(IF(INDEX(Inventory!B:B,SMALL($H$5:$H$304,157))="","",INDEX(Inventory!B:B,SMALL($H$5:$H$304,157))),"")</f>
        <v/>
      </c>
      <c r="C161" s="13" t="str">
        <f aca="false">IFERROR(IF(INDEX(Inventory!C:C,SMALL($H$5:$H$304,157))="","",INDEX(Inventory!C:C,SMALL($H$5:$H$304,157))),"")</f>
        <v/>
      </c>
      <c r="D161" s="13" t="str">
        <f aca="false">IFERROR(IF(INDEX(Inventory!D:D,SMALL($H$5:$H$304,157))="","",INDEX(Inventory!D:D,SMALL($H$5:$H$304,157))),"")</f>
        <v/>
      </c>
      <c r="E161" s="13" t="str">
        <f aca="false">IFERROR(IF(INDEX(Inventory!E:E,SMALL($H$5:$H$304,157))="","",INDEX(Inventory!E:E,SMALL($H$5:$H$304,157))),"")</f>
        <v/>
      </c>
      <c r="F161" s="13" t="str">
        <f aca="false">IFERROR(IF(INDEX(Inventory!F:F,SMALL($H$5:$H$304,157))="","",INDEX(Inventory!F:F,SMALL($H$5:$H$304,157))),"")</f>
        <v/>
      </c>
      <c r="G161" s="13" t="str">
        <f aca="false">IFERROR(IF(INDEX(Inventory!G:G,SMALL($H$5:$H$304,157))="","",INDEX(Inventory!G:G,SMALL($H$5:$H$304,157))),"")</f>
        <v/>
      </c>
      <c r="H161" s="1" t="str">
        <f aca="false">IF(Inventory!A159="","",IF(ISNUMBER(SEARCH($C$2,Inventory!A159)),ROW(Inventory!A159),""))</f>
        <v/>
      </c>
    </row>
    <row r="162" customFormat="false" ht="15" hidden="false" customHeight="false" outlineLevel="0" collapsed="false">
      <c r="A162" s="11" t="str">
        <f aca="false">IFERROR(IF(INDEX(Inventory!A:A,SMALL($H$5:$H$304,158))="","",INDEX(Inventory!A:A,SMALL($H$5:$H$304,158))),"")</f>
        <v/>
      </c>
      <c r="B162" s="11" t="str">
        <f aca="false">IFERROR(IF(INDEX(Inventory!B:B,SMALL($H$5:$H$304,158))="","",INDEX(Inventory!B:B,SMALL($H$5:$H$304,158))),"")</f>
        <v/>
      </c>
      <c r="C162" s="11" t="str">
        <f aca="false">IFERROR(IF(INDEX(Inventory!C:C,SMALL($H$5:$H$304,158))="","",INDEX(Inventory!C:C,SMALL($H$5:$H$304,158))),"")</f>
        <v/>
      </c>
      <c r="D162" s="11" t="str">
        <f aca="false">IFERROR(IF(INDEX(Inventory!D:D,SMALL($H$5:$H$304,158))="","",INDEX(Inventory!D:D,SMALL($H$5:$H$304,158))),"")</f>
        <v/>
      </c>
      <c r="E162" s="11" t="str">
        <f aca="false">IFERROR(IF(INDEX(Inventory!E:E,SMALL($H$5:$H$304,158))="","",INDEX(Inventory!E:E,SMALL($H$5:$H$304,158))),"")</f>
        <v/>
      </c>
      <c r="F162" s="11" t="str">
        <f aca="false">IFERROR(IF(INDEX(Inventory!F:F,SMALL($H$5:$H$304,158))="","",INDEX(Inventory!F:F,SMALL($H$5:$H$304,158))),"")</f>
        <v/>
      </c>
      <c r="G162" s="11" t="str">
        <f aca="false">IFERROR(IF(INDEX(Inventory!G:G,SMALL($H$5:$H$304,158))="","",INDEX(Inventory!G:G,SMALL($H$5:$H$304,158))),"")</f>
        <v/>
      </c>
      <c r="H162" s="1" t="str">
        <f aca="false">IF(Inventory!A160="","",IF(ISNUMBER(SEARCH($C$2,Inventory!A160)),ROW(Inventory!A160),""))</f>
        <v/>
      </c>
    </row>
    <row r="163" customFormat="false" ht="15" hidden="false" customHeight="false" outlineLevel="0" collapsed="false">
      <c r="A163" s="13" t="str">
        <f aca="false">IFERROR(IF(INDEX(Inventory!A:A,SMALL($H$5:$H$304,159))="","",INDEX(Inventory!A:A,SMALL($H$5:$H$304,159))),"")</f>
        <v/>
      </c>
      <c r="B163" s="13" t="str">
        <f aca="false">IFERROR(IF(INDEX(Inventory!B:B,SMALL($H$5:$H$304,159))="","",INDEX(Inventory!B:B,SMALL($H$5:$H$304,159))),"")</f>
        <v/>
      </c>
      <c r="C163" s="13" t="str">
        <f aca="false">IFERROR(IF(INDEX(Inventory!C:C,SMALL($H$5:$H$304,159))="","",INDEX(Inventory!C:C,SMALL($H$5:$H$304,159))),"")</f>
        <v/>
      </c>
      <c r="D163" s="13" t="str">
        <f aca="false">IFERROR(IF(INDEX(Inventory!D:D,SMALL($H$5:$H$304,159))="","",INDEX(Inventory!D:D,SMALL($H$5:$H$304,159))),"")</f>
        <v/>
      </c>
      <c r="E163" s="13" t="str">
        <f aca="false">IFERROR(IF(INDEX(Inventory!E:E,SMALL($H$5:$H$304,159))="","",INDEX(Inventory!E:E,SMALL($H$5:$H$304,159))),"")</f>
        <v/>
      </c>
      <c r="F163" s="13" t="str">
        <f aca="false">IFERROR(IF(INDEX(Inventory!F:F,SMALL($H$5:$H$304,159))="","",INDEX(Inventory!F:F,SMALL($H$5:$H$304,159))),"")</f>
        <v/>
      </c>
      <c r="G163" s="13" t="str">
        <f aca="false">IFERROR(IF(INDEX(Inventory!G:G,SMALL($H$5:$H$304,159))="","",INDEX(Inventory!G:G,SMALL($H$5:$H$304,159))),"")</f>
        <v/>
      </c>
      <c r="H163" s="1" t="str">
        <f aca="false">IF(Inventory!A161="","",IF(ISNUMBER(SEARCH($C$2,Inventory!A161)),ROW(Inventory!A161),""))</f>
        <v/>
      </c>
    </row>
    <row r="164" customFormat="false" ht="15" hidden="false" customHeight="false" outlineLevel="0" collapsed="false">
      <c r="A164" s="11" t="str">
        <f aca="false">IFERROR(IF(INDEX(Inventory!A:A,SMALL($H$5:$H$304,160))="","",INDEX(Inventory!A:A,SMALL($H$5:$H$304,160))),"")</f>
        <v/>
      </c>
      <c r="B164" s="11" t="str">
        <f aca="false">IFERROR(IF(INDEX(Inventory!B:B,SMALL($H$5:$H$304,160))="","",INDEX(Inventory!B:B,SMALL($H$5:$H$304,160))),"")</f>
        <v/>
      </c>
      <c r="C164" s="11" t="str">
        <f aca="false">IFERROR(IF(INDEX(Inventory!C:C,SMALL($H$5:$H$304,160))="","",INDEX(Inventory!C:C,SMALL($H$5:$H$304,160))),"")</f>
        <v/>
      </c>
      <c r="D164" s="11" t="str">
        <f aca="false">IFERROR(IF(INDEX(Inventory!D:D,SMALL($H$5:$H$304,160))="","",INDEX(Inventory!D:D,SMALL($H$5:$H$304,160))),"")</f>
        <v/>
      </c>
      <c r="E164" s="11" t="str">
        <f aca="false">IFERROR(IF(INDEX(Inventory!E:E,SMALL($H$5:$H$304,160))="","",INDEX(Inventory!E:E,SMALL($H$5:$H$304,160))),"")</f>
        <v/>
      </c>
      <c r="F164" s="11" t="str">
        <f aca="false">IFERROR(IF(INDEX(Inventory!F:F,SMALL($H$5:$H$304,160))="","",INDEX(Inventory!F:F,SMALL($H$5:$H$304,160))),"")</f>
        <v/>
      </c>
      <c r="G164" s="11" t="str">
        <f aca="false">IFERROR(IF(INDEX(Inventory!G:G,SMALL($H$5:$H$304,160))="","",INDEX(Inventory!G:G,SMALL($H$5:$H$304,160))),"")</f>
        <v/>
      </c>
      <c r="H164" s="1" t="str">
        <f aca="false">IF(Inventory!A162="","",IF(ISNUMBER(SEARCH($C$2,Inventory!A162)),ROW(Inventory!A162),""))</f>
        <v/>
      </c>
    </row>
    <row r="165" customFormat="false" ht="15" hidden="false" customHeight="false" outlineLevel="0" collapsed="false">
      <c r="A165" s="13" t="str">
        <f aca="false">IFERROR(IF(INDEX(Inventory!A:A,SMALL($H$5:$H$304,161))="","",INDEX(Inventory!A:A,SMALL($H$5:$H$304,161))),"")</f>
        <v/>
      </c>
      <c r="B165" s="13" t="str">
        <f aca="false">IFERROR(IF(INDEX(Inventory!B:B,SMALL($H$5:$H$304,161))="","",INDEX(Inventory!B:B,SMALL($H$5:$H$304,161))),"")</f>
        <v/>
      </c>
      <c r="C165" s="13" t="str">
        <f aca="false">IFERROR(IF(INDEX(Inventory!C:C,SMALL($H$5:$H$304,161))="","",INDEX(Inventory!C:C,SMALL($H$5:$H$304,161))),"")</f>
        <v/>
      </c>
      <c r="D165" s="13" t="str">
        <f aca="false">IFERROR(IF(INDEX(Inventory!D:D,SMALL($H$5:$H$304,161))="","",INDEX(Inventory!D:D,SMALL($H$5:$H$304,161))),"")</f>
        <v/>
      </c>
      <c r="E165" s="13" t="str">
        <f aca="false">IFERROR(IF(INDEX(Inventory!E:E,SMALL($H$5:$H$304,161))="","",INDEX(Inventory!E:E,SMALL($H$5:$H$304,161))),"")</f>
        <v/>
      </c>
      <c r="F165" s="13" t="str">
        <f aca="false">IFERROR(IF(INDEX(Inventory!F:F,SMALL($H$5:$H$304,161))="","",INDEX(Inventory!F:F,SMALL($H$5:$H$304,161))),"")</f>
        <v/>
      </c>
      <c r="G165" s="13" t="str">
        <f aca="false">IFERROR(IF(INDEX(Inventory!G:G,SMALL($H$5:$H$304,161))="","",INDEX(Inventory!G:G,SMALL($H$5:$H$304,161))),"")</f>
        <v/>
      </c>
      <c r="H165" s="1" t="str">
        <f aca="false">IF(Inventory!A163="","",IF(ISNUMBER(SEARCH($C$2,Inventory!A163)),ROW(Inventory!A163),""))</f>
        <v/>
      </c>
    </row>
    <row r="166" customFormat="false" ht="15" hidden="false" customHeight="false" outlineLevel="0" collapsed="false">
      <c r="A166" s="11" t="str">
        <f aca="false">IFERROR(IF(INDEX(Inventory!A:A,SMALL($H$5:$H$304,162))="","",INDEX(Inventory!A:A,SMALL($H$5:$H$304,162))),"")</f>
        <v/>
      </c>
      <c r="B166" s="11" t="str">
        <f aca="false">IFERROR(IF(INDEX(Inventory!B:B,SMALL($H$5:$H$304,162))="","",INDEX(Inventory!B:B,SMALL($H$5:$H$304,162))),"")</f>
        <v/>
      </c>
      <c r="C166" s="11" t="str">
        <f aca="false">IFERROR(IF(INDEX(Inventory!C:C,SMALL($H$5:$H$304,162))="","",INDEX(Inventory!C:C,SMALL($H$5:$H$304,162))),"")</f>
        <v/>
      </c>
      <c r="D166" s="11" t="str">
        <f aca="false">IFERROR(IF(INDEX(Inventory!D:D,SMALL($H$5:$H$304,162))="","",INDEX(Inventory!D:D,SMALL($H$5:$H$304,162))),"")</f>
        <v/>
      </c>
      <c r="E166" s="11" t="str">
        <f aca="false">IFERROR(IF(INDEX(Inventory!E:E,SMALL($H$5:$H$304,162))="","",INDEX(Inventory!E:E,SMALL($H$5:$H$304,162))),"")</f>
        <v/>
      </c>
      <c r="F166" s="11" t="str">
        <f aca="false">IFERROR(IF(INDEX(Inventory!F:F,SMALL($H$5:$H$304,162))="","",INDEX(Inventory!F:F,SMALL($H$5:$H$304,162))),"")</f>
        <v/>
      </c>
      <c r="G166" s="11" t="str">
        <f aca="false">IFERROR(IF(INDEX(Inventory!G:G,SMALL($H$5:$H$304,162))="","",INDEX(Inventory!G:G,SMALL($H$5:$H$304,162))),"")</f>
        <v/>
      </c>
      <c r="H166" s="1" t="str">
        <f aca="false">IF(Inventory!A164="","",IF(ISNUMBER(SEARCH($C$2,Inventory!A164)),ROW(Inventory!A164),""))</f>
        <v/>
      </c>
    </row>
    <row r="167" customFormat="false" ht="15" hidden="false" customHeight="false" outlineLevel="0" collapsed="false">
      <c r="A167" s="13" t="str">
        <f aca="false">IFERROR(IF(INDEX(Inventory!A:A,SMALL($H$5:$H$304,163))="","",INDEX(Inventory!A:A,SMALL($H$5:$H$304,163))),"")</f>
        <v/>
      </c>
      <c r="B167" s="13" t="str">
        <f aca="false">IFERROR(IF(INDEX(Inventory!B:B,SMALL($H$5:$H$304,163))="","",INDEX(Inventory!B:B,SMALL($H$5:$H$304,163))),"")</f>
        <v/>
      </c>
      <c r="C167" s="13" t="str">
        <f aca="false">IFERROR(IF(INDEX(Inventory!C:C,SMALL($H$5:$H$304,163))="","",INDEX(Inventory!C:C,SMALL($H$5:$H$304,163))),"")</f>
        <v/>
      </c>
      <c r="D167" s="13" t="str">
        <f aca="false">IFERROR(IF(INDEX(Inventory!D:D,SMALL($H$5:$H$304,163))="","",INDEX(Inventory!D:D,SMALL($H$5:$H$304,163))),"")</f>
        <v/>
      </c>
      <c r="E167" s="13" t="str">
        <f aca="false">IFERROR(IF(INDEX(Inventory!E:E,SMALL($H$5:$H$304,163))="","",INDEX(Inventory!E:E,SMALL($H$5:$H$304,163))),"")</f>
        <v/>
      </c>
      <c r="F167" s="13" t="str">
        <f aca="false">IFERROR(IF(INDEX(Inventory!F:F,SMALL($H$5:$H$304,163))="","",INDEX(Inventory!F:F,SMALL($H$5:$H$304,163))),"")</f>
        <v/>
      </c>
      <c r="G167" s="13" t="str">
        <f aca="false">IFERROR(IF(INDEX(Inventory!G:G,SMALL($H$5:$H$304,163))="","",INDEX(Inventory!G:G,SMALL($H$5:$H$304,163))),"")</f>
        <v/>
      </c>
      <c r="H167" s="1" t="str">
        <f aca="false">IF(Inventory!A165="","",IF(ISNUMBER(SEARCH($C$2,Inventory!A165)),ROW(Inventory!A165),""))</f>
        <v/>
      </c>
    </row>
    <row r="168" customFormat="false" ht="15" hidden="false" customHeight="false" outlineLevel="0" collapsed="false">
      <c r="A168" s="11" t="str">
        <f aca="false">IFERROR(IF(INDEX(Inventory!A:A,SMALL($H$5:$H$304,164))="","",INDEX(Inventory!A:A,SMALL($H$5:$H$304,164))),"")</f>
        <v/>
      </c>
      <c r="B168" s="11" t="str">
        <f aca="false">IFERROR(IF(INDEX(Inventory!B:B,SMALL($H$5:$H$304,164))="","",INDEX(Inventory!B:B,SMALL($H$5:$H$304,164))),"")</f>
        <v/>
      </c>
      <c r="C168" s="11" t="str">
        <f aca="false">IFERROR(IF(INDEX(Inventory!C:C,SMALL($H$5:$H$304,164))="","",INDEX(Inventory!C:C,SMALL($H$5:$H$304,164))),"")</f>
        <v/>
      </c>
      <c r="D168" s="11" t="str">
        <f aca="false">IFERROR(IF(INDEX(Inventory!D:D,SMALL($H$5:$H$304,164))="","",INDEX(Inventory!D:D,SMALL($H$5:$H$304,164))),"")</f>
        <v/>
      </c>
      <c r="E168" s="11" t="str">
        <f aca="false">IFERROR(IF(INDEX(Inventory!E:E,SMALL($H$5:$H$304,164))="","",INDEX(Inventory!E:E,SMALL($H$5:$H$304,164))),"")</f>
        <v/>
      </c>
      <c r="F168" s="11" t="str">
        <f aca="false">IFERROR(IF(INDEX(Inventory!F:F,SMALL($H$5:$H$304,164))="","",INDEX(Inventory!F:F,SMALL($H$5:$H$304,164))),"")</f>
        <v/>
      </c>
      <c r="G168" s="11" t="str">
        <f aca="false">IFERROR(IF(INDEX(Inventory!G:G,SMALL($H$5:$H$304,164))="","",INDEX(Inventory!G:G,SMALL($H$5:$H$304,164))),"")</f>
        <v/>
      </c>
      <c r="H168" s="1" t="str">
        <f aca="false">IF(Inventory!A166="","",IF(ISNUMBER(SEARCH($C$2,Inventory!A166)),ROW(Inventory!A166),""))</f>
        <v/>
      </c>
    </row>
    <row r="169" customFormat="false" ht="15" hidden="false" customHeight="false" outlineLevel="0" collapsed="false">
      <c r="A169" s="13" t="str">
        <f aca="false">IFERROR(IF(INDEX(Inventory!A:A,SMALL($H$5:$H$304,165))="","",INDEX(Inventory!A:A,SMALL($H$5:$H$304,165))),"")</f>
        <v/>
      </c>
      <c r="B169" s="13" t="str">
        <f aca="false">IFERROR(IF(INDEX(Inventory!B:B,SMALL($H$5:$H$304,165))="","",INDEX(Inventory!B:B,SMALL($H$5:$H$304,165))),"")</f>
        <v/>
      </c>
      <c r="C169" s="13" t="str">
        <f aca="false">IFERROR(IF(INDEX(Inventory!C:C,SMALL($H$5:$H$304,165))="","",INDEX(Inventory!C:C,SMALL($H$5:$H$304,165))),"")</f>
        <v/>
      </c>
      <c r="D169" s="13" t="str">
        <f aca="false">IFERROR(IF(INDEX(Inventory!D:D,SMALL($H$5:$H$304,165))="","",INDEX(Inventory!D:D,SMALL($H$5:$H$304,165))),"")</f>
        <v/>
      </c>
      <c r="E169" s="13" t="str">
        <f aca="false">IFERROR(IF(INDEX(Inventory!E:E,SMALL($H$5:$H$304,165))="","",INDEX(Inventory!E:E,SMALL($H$5:$H$304,165))),"")</f>
        <v/>
      </c>
      <c r="F169" s="13" t="str">
        <f aca="false">IFERROR(IF(INDEX(Inventory!F:F,SMALL($H$5:$H$304,165))="","",INDEX(Inventory!F:F,SMALL($H$5:$H$304,165))),"")</f>
        <v/>
      </c>
      <c r="G169" s="13" t="str">
        <f aca="false">IFERROR(IF(INDEX(Inventory!G:G,SMALL($H$5:$H$304,165))="","",INDEX(Inventory!G:G,SMALL($H$5:$H$304,165))),"")</f>
        <v/>
      </c>
      <c r="H169" s="1" t="str">
        <f aca="false">IF(Inventory!A167="","",IF(ISNUMBER(SEARCH($C$2,Inventory!A167)),ROW(Inventory!A167),""))</f>
        <v/>
      </c>
    </row>
    <row r="170" customFormat="false" ht="15" hidden="false" customHeight="false" outlineLevel="0" collapsed="false">
      <c r="A170" s="11" t="str">
        <f aca="false">IFERROR(IF(INDEX(Inventory!A:A,SMALL($H$5:$H$304,166))="","",INDEX(Inventory!A:A,SMALL($H$5:$H$304,166))),"")</f>
        <v/>
      </c>
      <c r="B170" s="11" t="str">
        <f aca="false">IFERROR(IF(INDEX(Inventory!B:B,SMALL($H$5:$H$304,166))="","",INDEX(Inventory!B:B,SMALL($H$5:$H$304,166))),"")</f>
        <v/>
      </c>
      <c r="C170" s="11" t="str">
        <f aca="false">IFERROR(IF(INDEX(Inventory!C:C,SMALL($H$5:$H$304,166))="","",INDEX(Inventory!C:C,SMALL($H$5:$H$304,166))),"")</f>
        <v/>
      </c>
      <c r="D170" s="11" t="str">
        <f aca="false">IFERROR(IF(INDEX(Inventory!D:D,SMALL($H$5:$H$304,166))="","",INDEX(Inventory!D:D,SMALL($H$5:$H$304,166))),"")</f>
        <v/>
      </c>
      <c r="E170" s="11" t="str">
        <f aca="false">IFERROR(IF(INDEX(Inventory!E:E,SMALL($H$5:$H$304,166))="","",INDEX(Inventory!E:E,SMALL($H$5:$H$304,166))),"")</f>
        <v/>
      </c>
      <c r="F170" s="11" t="str">
        <f aca="false">IFERROR(IF(INDEX(Inventory!F:F,SMALL($H$5:$H$304,166))="","",INDEX(Inventory!F:F,SMALL($H$5:$H$304,166))),"")</f>
        <v/>
      </c>
      <c r="G170" s="11" t="str">
        <f aca="false">IFERROR(IF(INDEX(Inventory!G:G,SMALL($H$5:$H$304,166))="","",INDEX(Inventory!G:G,SMALL($H$5:$H$304,166))),"")</f>
        <v/>
      </c>
      <c r="H170" s="1" t="str">
        <f aca="false">IF(Inventory!A168="","",IF(ISNUMBER(SEARCH($C$2,Inventory!A168)),ROW(Inventory!A168),""))</f>
        <v/>
      </c>
    </row>
    <row r="171" customFormat="false" ht="15" hidden="false" customHeight="false" outlineLevel="0" collapsed="false">
      <c r="A171" s="13" t="str">
        <f aca="false">IFERROR(IF(INDEX(Inventory!A:A,SMALL($H$5:$H$304,167))="","",INDEX(Inventory!A:A,SMALL($H$5:$H$304,167))),"")</f>
        <v/>
      </c>
      <c r="B171" s="13" t="str">
        <f aca="false">IFERROR(IF(INDEX(Inventory!B:B,SMALL($H$5:$H$304,167))="","",INDEX(Inventory!B:B,SMALL($H$5:$H$304,167))),"")</f>
        <v/>
      </c>
      <c r="C171" s="13" t="str">
        <f aca="false">IFERROR(IF(INDEX(Inventory!C:C,SMALL($H$5:$H$304,167))="","",INDEX(Inventory!C:C,SMALL($H$5:$H$304,167))),"")</f>
        <v/>
      </c>
      <c r="D171" s="13" t="str">
        <f aca="false">IFERROR(IF(INDEX(Inventory!D:D,SMALL($H$5:$H$304,167))="","",INDEX(Inventory!D:D,SMALL($H$5:$H$304,167))),"")</f>
        <v/>
      </c>
      <c r="E171" s="13" t="str">
        <f aca="false">IFERROR(IF(INDEX(Inventory!E:E,SMALL($H$5:$H$304,167))="","",INDEX(Inventory!E:E,SMALL($H$5:$H$304,167))),"")</f>
        <v/>
      </c>
      <c r="F171" s="13" t="str">
        <f aca="false">IFERROR(IF(INDEX(Inventory!F:F,SMALL($H$5:$H$304,167))="","",INDEX(Inventory!F:F,SMALL($H$5:$H$304,167))),"")</f>
        <v/>
      </c>
      <c r="G171" s="13" t="str">
        <f aca="false">IFERROR(IF(INDEX(Inventory!G:G,SMALL($H$5:$H$304,167))="","",INDEX(Inventory!G:G,SMALL($H$5:$H$304,167))),"")</f>
        <v/>
      </c>
      <c r="H171" s="1" t="str">
        <f aca="false">IF(Inventory!A169="","",IF(ISNUMBER(SEARCH($C$2,Inventory!A169)),ROW(Inventory!A169),""))</f>
        <v/>
      </c>
    </row>
    <row r="172" customFormat="false" ht="15" hidden="false" customHeight="false" outlineLevel="0" collapsed="false">
      <c r="A172" s="11" t="str">
        <f aca="false">IFERROR(IF(INDEX(Inventory!A:A,SMALL($H$5:$H$304,168))="","",INDEX(Inventory!A:A,SMALL($H$5:$H$304,168))),"")</f>
        <v/>
      </c>
      <c r="B172" s="11" t="str">
        <f aca="false">IFERROR(IF(INDEX(Inventory!B:B,SMALL($H$5:$H$304,168))="","",INDEX(Inventory!B:B,SMALL($H$5:$H$304,168))),"")</f>
        <v/>
      </c>
      <c r="C172" s="11" t="str">
        <f aca="false">IFERROR(IF(INDEX(Inventory!C:C,SMALL($H$5:$H$304,168))="","",INDEX(Inventory!C:C,SMALL($H$5:$H$304,168))),"")</f>
        <v/>
      </c>
      <c r="D172" s="11" t="str">
        <f aca="false">IFERROR(IF(INDEX(Inventory!D:D,SMALL($H$5:$H$304,168))="","",INDEX(Inventory!D:D,SMALL($H$5:$H$304,168))),"")</f>
        <v/>
      </c>
      <c r="E172" s="11" t="str">
        <f aca="false">IFERROR(IF(INDEX(Inventory!E:E,SMALL($H$5:$H$304,168))="","",INDEX(Inventory!E:E,SMALL($H$5:$H$304,168))),"")</f>
        <v/>
      </c>
      <c r="F172" s="11" t="str">
        <f aca="false">IFERROR(IF(INDEX(Inventory!F:F,SMALL($H$5:$H$304,168))="","",INDEX(Inventory!F:F,SMALL($H$5:$H$304,168))),"")</f>
        <v/>
      </c>
      <c r="G172" s="11" t="str">
        <f aca="false">IFERROR(IF(INDEX(Inventory!G:G,SMALL($H$5:$H$304,168))="","",INDEX(Inventory!G:G,SMALL($H$5:$H$304,168))),"")</f>
        <v/>
      </c>
      <c r="H172" s="1" t="str">
        <f aca="false">IF(Inventory!A170="","",IF(ISNUMBER(SEARCH($C$2,Inventory!A170)),ROW(Inventory!A170),""))</f>
        <v/>
      </c>
    </row>
    <row r="173" customFormat="false" ht="15" hidden="false" customHeight="false" outlineLevel="0" collapsed="false">
      <c r="A173" s="13" t="str">
        <f aca="false">IFERROR(IF(INDEX(Inventory!A:A,SMALL($H$5:$H$304,169))="","",INDEX(Inventory!A:A,SMALL($H$5:$H$304,169))),"")</f>
        <v/>
      </c>
      <c r="B173" s="13" t="str">
        <f aca="false">IFERROR(IF(INDEX(Inventory!B:B,SMALL($H$5:$H$304,169))="","",INDEX(Inventory!B:B,SMALL($H$5:$H$304,169))),"")</f>
        <v/>
      </c>
      <c r="C173" s="13" t="str">
        <f aca="false">IFERROR(IF(INDEX(Inventory!C:C,SMALL($H$5:$H$304,169))="","",INDEX(Inventory!C:C,SMALL($H$5:$H$304,169))),"")</f>
        <v/>
      </c>
      <c r="D173" s="13" t="str">
        <f aca="false">IFERROR(IF(INDEX(Inventory!D:D,SMALL($H$5:$H$304,169))="","",INDEX(Inventory!D:D,SMALL($H$5:$H$304,169))),"")</f>
        <v/>
      </c>
      <c r="E173" s="13" t="str">
        <f aca="false">IFERROR(IF(INDEX(Inventory!E:E,SMALL($H$5:$H$304,169))="","",INDEX(Inventory!E:E,SMALL($H$5:$H$304,169))),"")</f>
        <v/>
      </c>
      <c r="F173" s="13" t="str">
        <f aca="false">IFERROR(IF(INDEX(Inventory!F:F,SMALL($H$5:$H$304,169))="","",INDEX(Inventory!F:F,SMALL($H$5:$H$304,169))),"")</f>
        <v/>
      </c>
      <c r="G173" s="13" t="str">
        <f aca="false">IFERROR(IF(INDEX(Inventory!G:G,SMALL($H$5:$H$304,169))="","",INDEX(Inventory!G:G,SMALL($H$5:$H$304,169))),"")</f>
        <v/>
      </c>
      <c r="H173" s="1" t="str">
        <f aca="false">IF(Inventory!A171="","",IF(ISNUMBER(SEARCH($C$2,Inventory!A171)),ROW(Inventory!A171),""))</f>
        <v/>
      </c>
    </row>
    <row r="174" customFormat="false" ht="15" hidden="false" customHeight="false" outlineLevel="0" collapsed="false">
      <c r="A174" s="11" t="str">
        <f aca="false">IFERROR(IF(INDEX(Inventory!A:A,SMALL($H$5:$H$304,170))="","",INDEX(Inventory!A:A,SMALL($H$5:$H$304,170))),"")</f>
        <v/>
      </c>
      <c r="B174" s="11" t="str">
        <f aca="false">IFERROR(IF(INDEX(Inventory!B:B,SMALL($H$5:$H$304,170))="","",INDEX(Inventory!B:B,SMALL($H$5:$H$304,170))),"")</f>
        <v/>
      </c>
      <c r="C174" s="11" t="str">
        <f aca="false">IFERROR(IF(INDEX(Inventory!C:C,SMALL($H$5:$H$304,170))="","",INDEX(Inventory!C:C,SMALL($H$5:$H$304,170))),"")</f>
        <v/>
      </c>
      <c r="D174" s="11" t="str">
        <f aca="false">IFERROR(IF(INDEX(Inventory!D:D,SMALL($H$5:$H$304,170))="","",INDEX(Inventory!D:D,SMALL($H$5:$H$304,170))),"")</f>
        <v/>
      </c>
      <c r="E174" s="11" t="str">
        <f aca="false">IFERROR(IF(INDEX(Inventory!E:E,SMALL($H$5:$H$304,170))="","",INDEX(Inventory!E:E,SMALL($H$5:$H$304,170))),"")</f>
        <v/>
      </c>
      <c r="F174" s="11" t="str">
        <f aca="false">IFERROR(IF(INDEX(Inventory!F:F,SMALL($H$5:$H$304,170))="","",INDEX(Inventory!F:F,SMALL($H$5:$H$304,170))),"")</f>
        <v/>
      </c>
      <c r="G174" s="11" t="str">
        <f aca="false">IFERROR(IF(INDEX(Inventory!G:G,SMALL($H$5:$H$304,170))="","",INDEX(Inventory!G:G,SMALL($H$5:$H$304,170))),"")</f>
        <v/>
      </c>
      <c r="H174" s="1" t="str">
        <f aca="false">IF(Inventory!A172="","",IF(ISNUMBER(SEARCH($C$2,Inventory!A172)),ROW(Inventory!A172),""))</f>
        <v/>
      </c>
    </row>
    <row r="175" customFormat="false" ht="15" hidden="false" customHeight="false" outlineLevel="0" collapsed="false">
      <c r="A175" s="13" t="str">
        <f aca="false">IFERROR(IF(INDEX(Inventory!A:A,SMALL($H$5:$H$304,171))="","",INDEX(Inventory!A:A,SMALL($H$5:$H$304,171))),"")</f>
        <v/>
      </c>
      <c r="B175" s="13" t="str">
        <f aca="false">IFERROR(IF(INDEX(Inventory!B:B,SMALL($H$5:$H$304,171))="","",INDEX(Inventory!B:B,SMALL($H$5:$H$304,171))),"")</f>
        <v/>
      </c>
      <c r="C175" s="13" t="str">
        <f aca="false">IFERROR(IF(INDEX(Inventory!C:C,SMALL($H$5:$H$304,171))="","",INDEX(Inventory!C:C,SMALL($H$5:$H$304,171))),"")</f>
        <v/>
      </c>
      <c r="D175" s="13" t="str">
        <f aca="false">IFERROR(IF(INDEX(Inventory!D:D,SMALL($H$5:$H$304,171))="","",INDEX(Inventory!D:D,SMALL($H$5:$H$304,171))),"")</f>
        <v/>
      </c>
      <c r="E175" s="13" t="str">
        <f aca="false">IFERROR(IF(INDEX(Inventory!E:E,SMALL($H$5:$H$304,171))="","",INDEX(Inventory!E:E,SMALL($H$5:$H$304,171))),"")</f>
        <v/>
      </c>
      <c r="F175" s="13" t="str">
        <f aca="false">IFERROR(IF(INDEX(Inventory!F:F,SMALL($H$5:$H$304,171))="","",INDEX(Inventory!F:F,SMALL($H$5:$H$304,171))),"")</f>
        <v/>
      </c>
      <c r="G175" s="13" t="str">
        <f aca="false">IFERROR(IF(INDEX(Inventory!G:G,SMALL($H$5:$H$304,171))="","",INDEX(Inventory!G:G,SMALL($H$5:$H$304,171))),"")</f>
        <v/>
      </c>
      <c r="H175" s="1" t="str">
        <f aca="false">IF(Inventory!A173="","",IF(ISNUMBER(SEARCH($C$2,Inventory!A173)),ROW(Inventory!A173),""))</f>
        <v/>
      </c>
    </row>
    <row r="176" customFormat="false" ht="15" hidden="false" customHeight="false" outlineLevel="0" collapsed="false">
      <c r="A176" s="11" t="str">
        <f aca="false">IFERROR(IF(INDEX(Inventory!A:A,SMALL($H$5:$H$304,172))="","",INDEX(Inventory!A:A,SMALL($H$5:$H$304,172))),"")</f>
        <v/>
      </c>
      <c r="B176" s="11" t="str">
        <f aca="false">IFERROR(IF(INDEX(Inventory!B:B,SMALL($H$5:$H$304,172))="","",INDEX(Inventory!B:B,SMALL($H$5:$H$304,172))),"")</f>
        <v/>
      </c>
      <c r="C176" s="11" t="str">
        <f aca="false">IFERROR(IF(INDEX(Inventory!C:C,SMALL($H$5:$H$304,172))="","",INDEX(Inventory!C:C,SMALL($H$5:$H$304,172))),"")</f>
        <v/>
      </c>
      <c r="D176" s="11" t="str">
        <f aca="false">IFERROR(IF(INDEX(Inventory!D:D,SMALL($H$5:$H$304,172))="","",INDEX(Inventory!D:D,SMALL($H$5:$H$304,172))),"")</f>
        <v/>
      </c>
      <c r="E176" s="11" t="str">
        <f aca="false">IFERROR(IF(INDEX(Inventory!E:E,SMALL($H$5:$H$304,172))="","",INDEX(Inventory!E:E,SMALL($H$5:$H$304,172))),"")</f>
        <v/>
      </c>
      <c r="F176" s="11" t="str">
        <f aca="false">IFERROR(IF(INDEX(Inventory!F:F,SMALL($H$5:$H$304,172))="","",INDEX(Inventory!F:F,SMALL($H$5:$H$304,172))),"")</f>
        <v/>
      </c>
      <c r="G176" s="11" t="str">
        <f aca="false">IFERROR(IF(INDEX(Inventory!G:G,SMALL($H$5:$H$304,172))="","",INDEX(Inventory!G:G,SMALL($H$5:$H$304,172))),"")</f>
        <v/>
      </c>
      <c r="H176" s="1" t="str">
        <f aca="false">IF(Inventory!A174="","",IF(ISNUMBER(SEARCH($C$2,Inventory!A174)),ROW(Inventory!A174),""))</f>
        <v/>
      </c>
    </row>
    <row r="177" customFormat="false" ht="15" hidden="false" customHeight="false" outlineLevel="0" collapsed="false">
      <c r="A177" s="13" t="str">
        <f aca="false">IFERROR(IF(INDEX(Inventory!A:A,SMALL($H$5:$H$304,173))="","",INDEX(Inventory!A:A,SMALL($H$5:$H$304,173))),"")</f>
        <v/>
      </c>
      <c r="B177" s="13" t="str">
        <f aca="false">IFERROR(IF(INDEX(Inventory!B:B,SMALL($H$5:$H$304,173))="","",INDEX(Inventory!B:B,SMALL($H$5:$H$304,173))),"")</f>
        <v/>
      </c>
      <c r="C177" s="13" t="str">
        <f aca="false">IFERROR(IF(INDEX(Inventory!C:C,SMALL($H$5:$H$304,173))="","",INDEX(Inventory!C:C,SMALL($H$5:$H$304,173))),"")</f>
        <v/>
      </c>
      <c r="D177" s="13" t="str">
        <f aca="false">IFERROR(IF(INDEX(Inventory!D:D,SMALL($H$5:$H$304,173))="","",INDEX(Inventory!D:D,SMALL($H$5:$H$304,173))),"")</f>
        <v/>
      </c>
      <c r="E177" s="13" t="str">
        <f aca="false">IFERROR(IF(INDEX(Inventory!E:E,SMALL($H$5:$H$304,173))="","",INDEX(Inventory!E:E,SMALL($H$5:$H$304,173))),"")</f>
        <v/>
      </c>
      <c r="F177" s="13" t="str">
        <f aca="false">IFERROR(IF(INDEX(Inventory!F:F,SMALL($H$5:$H$304,173))="","",INDEX(Inventory!F:F,SMALL($H$5:$H$304,173))),"")</f>
        <v/>
      </c>
      <c r="G177" s="13" t="str">
        <f aca="false">IFERROR(IF(INDEX(Inventory!G:G,SMALL($H$5:$H$304,173))="","",INDEX(Inventory!G:G,SMALL($H$5:$H$304,173))),"")</f>
        <v/>
      </c>
      <c r="H177" s="1" t="str">
        <f aca="false">IF(Inventory!A175="","",IF(ISNUMBER(SEARCH($C$2,Inventory!A175)),ROW(Inventory!A175),""))</f>
        <v/>
      </c>
    </row>
    <row r="178" customFormat="false" ht="15" hidden="false" customHeight="false" outlineLevel="0" collapsed="false">
      <c r="A178" s="11" t="str">
        <f aca="false">IFERROR(IF(INDEX(Inventory!A:A,SMALL($H$5:$H$304,174))="","",INDEX(Inventory!A:A,SMALL($H$5:$H$304,174))),"")</f>
        <v/>
      </c>
      <c r="B178" s="11" t="str">
        <f aca="false">IFERROR(IF(INDEX(Inventory!B:B,SMALL($H$5:$H$304,174))="","",INDEX(Inventory!B:B,SMALL($H$5:$H$304,174))),"")</f>
        <v/>
      </c>
      <c r="C178" s="11" t="str">
        <f aca="false">IFERROR(IF(INDEX(Inventory!C:C,SMALL($H$5:$H$304,174))="","",INDEX(Inventory!C:C,SMALL($H$5:$H$304,174))),"")</f>
        <v/>
      </c>
      <c r="D178" s="11" t="str">
        <f aca="false">IFERROR(IF(INDEX(Inventory!D:D,SMALL($H$5:$H$304,174))="","",INDEX(Inventory!D:D,SMALL($H$5:$H$304,174))),"")</f>
        <v/>
      </c>
      <c r="E178" s="11" t="str">
        <f aca="false">IFERROR(IF(INDEX(Inventory!E:E,SMALL($H$5:$H$304,174))="","",INDEX(Inventory!E:E,SMALL($H$5:$H$304,174))),"")</f>
        <v/>
      </c>
      <c r="F178" s="11" t="str">
        <f aca="false">IFERROR(IF(INDEX(Inventory!F:F,SMALL($H$5:$H$304,174))="","",INDEX(Inventory!F:F,SMALL($H$5:$H$304,174))),"")</f>
        <v/>
      </c>
      <c r="G178" s="11" t="str">
        <f aca="false">IFERROR(IF(INDEX(Inventory!G:G,SMALL($H$5:$H$304,174))="","",INDEX(Inventory!G:G,SMALL($H$5:$H$304,174))),"")</f>
        <v/>
      </c>
      <c r="H178" s="1" t="str">
        <f aca="false">IF(Inventory!A176="","",IF(ISNUMBER(SEARCH($C$2,Inventory!A176)),ROW(Inventory!A176),""))</f>
        <v/>
      </c>
    </row>
    <row r="179" customFormat="false" ht="15" hidden="false" customHeight="false" outlineLevel="0" collapsed="false">
      <c r="A179" s="13" t="str">
        <f aca="false">IFERROR(IF(INDEX(Inventory!A:A,SMALL($H$5:$H$304,175))="","",INDEX(Inventory!A:A,SMALL($H$5:$H$304,175))),"")</f>
        <v/>
      </c>
      <c r="B179" s="13" t="str">
        <f aca="false">IFERROR(IF(INDEX(Inventory!B:B,SMALL($H$5:$H$304,175))="","",INDEX(Inventory!B:B,SMALL($H$5:$H$304,175))),"")</f>
        <v/>
      </c>
      <c r="C179" s="13" t="str">
        <f aca="false">IFERROR(IF(INDEX(Inventory!C:C,SMALL($H$5:$H$304,175))="","",INDEX(Inventory!C:C,SMALL($H$5:$H$304,175))),"")</f>
        <v/>
      </c>
      <c r="D179" s="13" t="str">
        <f aca="false">IFERROR(IF(INDEX(Inventory!D:D,SMALL($H$5:$H$304,175))="","",INDEX(Inventory!D:D,SMALL($H$5:$H$304,175))),"")</f>
        <v/>
      </c>
      <c r="E179" s="13" t="str">
        <f aca="false">IFERROR(IF(INDEX(Inventory!E:E,SMALL($H$5:$H$304,175))="","",INDEX(Inventory!E:E,SMALL($H$5:$H$304,175))),"")</f>
        <v/>
      </c>
      <c r="F179" s="13" t="str">
        <f aca="false">IFERROR(IF(INDEX(Inventory!F:F,SMALL($H$5:$H$304,175))="","",INDEX(Inventory!F:F,SMALL($H$5:$H$304,175))),"")</f>
        <v/>
      </c>
      <c r="G179" s="13" t="str">
        <f aca="false">IFERROR(IF(INDEX(Inventory!G:G,SMALL($H$5:$H$304,175))="","",INDEX(Inventory!G:G,SMALL($H$5:$H$304,175))),"")</f>
        <v/>
      </c>
      <c r="H179" s="1" t="str">
        <f aca="false">IF(Inventory!A177="","",IF(ISNUMBER(SEARCH($C$2,Inventory!A177)),ROW(Inventory!A177),""))</f>
        <v/>
      </c>
    </row>
    <row r="180" customFormat="false" ht="15" hidden="false" customHeight="false" outlineLevel="0" collapsed="false">
      <c r="A180" s="11" t="str">
        <f aca="false">IFERROR(IF(INDEX(Inventory!A:A,SMALL($H$5:$H$304,176))="","",INDEX(Inventory!A:A,SMALL($H$5:$H$304,176))),"")</f>
        <v/>
      </c>
      <c r="B180" s="11" t="str">
        <f aca="false">IFERROR(IF(INDEX(Inventory!B:B,SMALL($H$5:$H$304,176))="","",INDEX(Inventory!B:B,SMALL($H$5:$H$304,176))),"")</f>
        <v/>
      </c>
      <c r="C180" s="11" t="str">
        <f aca="false">IFERROR(IF(INDEX(Inventory!C:C,SMALL($H$5:$H$304,176))="","",INDEX(Inventory!C:C,SMALL($H$5:$H$304,176))),"")</f>
        <v/>
      </c>
      <c r="D180" s="11" t="str">
        <f aca="false">IFERROR(IF(INDEX(Inventory!D:D,SMALL($H$5:$H$304,176))="","",INDEX(Inventory!D:D,SMALL($H$5:$H$304,176))),"")</f>
        <v/>
      </c>
      <c r="E180" s="11" t="str">
        <f aca="false">IFERROR(IF(INDEX(Inventory!E:E,SMALL($H$5:$H$304,176))="","",INDEX(Inventory!E:E,SMALL($H$5:$H$304,176))),"")</f>
        <v/>
      </c>
      <c r="F180" s="11" t="str">
        <f aca="false">IFERROR(IF(INDEX(Inventory!F:F,SMALL($H$5:$H$304,176))="","",INDEX(Inventory!F:F,SMALL($H$5:$H$304,176))),"")</f>
        <v/>
      </c>
      <c r="G180" s="11" t="str">
        <f aca="false">IFERROR(IF(INDEX(Inventory!G:G,SMALL($H$5:$H$304,176))="","",INDEX(Inventory!G:G,SMALL($H$5:$H$304,176))),"")</f>
        <v/>
      </c>
      <c r="H180" s="1" t="str">
        <f aca="false">IF(Inventory!A178="","",IF(ISNUMBER(SEARCH($C$2,Inventory!A178)),ROW(Inventory!A178),""))</f>
        <v/>
      </c>
    </row>
    <row r="181" customFormat="false" ht="15" hidden="false" customHeight="false" outlineLevel="0" collapsed="false">
      <c r="A181" s="13" t="str">
        <f aca="false">IFERROR(IF(INDEX(Inventory!A:A,SMALL($H$5:$H$304,177))="","",INDEX(Inventory!A:A,SMALL($H$5:$H$304,177))),"")</f>
        <v/>
      </c>
      <c r="B181" s="13" t="str">
        <f aca="false">IFERROR(IF(INDEX(Inventory!B:B,SMALL($H$5:$H$304,177))="","",INDEX(Inventory!B:B,SMALL($H$5:$H$304,177))),"")</f>
        <v/>
      </c>
      <c r="C181" s="13" t="str">
        <f aca="false">IFERROR(IF(INDEX(Inventory!C:C,SMALL($H$5:$H$304,177))="","",INDEX(Inventory!C:C,SMALL($H$5:$H$304,177))),"")</f>
        <v/>
      </c>
      <c r="D181" s="13" t="str">
        <f aca="false">IFERROR(IF(INDEX(Inventory!D:D,SMALL($H$5:$H$304,177))="","",INDEX(Inventory!D:D,SMALL($H$5:$H$304,177))),"")</f>
        <v/>
      </c>
      <c r="E181" s="13" t="str">
        <f aca="false">IFERROR(IF(INDEX(Inventory!E:E,SMALL($H$5:$H$304,177))="","",INDEX(Inventory!E:E,SMALL($H$5:$H$304,177))),"")</f>
        <v/>
      </c>
      <c r="F181" s="13" t="str">
        <f aca="false">IFERROR(IF(INDEX(Inventory!F:F,SMALL($H$5:$H$304,177))="","",INDEX(Inventory!F:F,SMALL($H$5:$H$304,177))),"")</f>
        <v/>
      </c>
      <c r="G181" s="13" t="str">
        <f aca="false">IFERROR(IF(INDEX(Inventory!G:G,SMALL($H$5:$H$304,177))="","",INDEX(Inventory!G:G,SMALL($H$5:$H$304,177))),"")</f>
        <v/>
      </c>
      <c r="H181" s="1" t="str">
        <f aca="false">IF(Inventory!A179="","",IF(ISNUMBER(SEARCH($C$2,Inventory!A179)),ROW(Inventory!A179),""))</f>
        <v/>
      </c>
    </row>
    <row r="182" customFormat="false" ht="15" hidden="false" customHeight="false" outlineLevel="0" collapsed="false">
      <c r="A182" s="11" t="str">
        <f aca="false">IFERROR(IF(INDEX(Inventory!A:A,SMALL($H$5:$H$304,178))="","",INDEX(Inventory!A:A,SMALL($H$5:$H$304,178))),"")</f>
        <v/>
      </c>
      <c r="B182" s="11" t="str">
        <f aca="false">IFERROR(IF(INDEX(Inventory!B:B,SMALL($H$5:$H$304,178))="","",INDEX(Inventory!B:B,SMALL($H$5:$H$304,178))),"")</f>
        <v/>
      </c>
      <c r="C182" s="11" t="str">
        <f aca="false">IFERROR(IF(INDEX(Inventory!C:C,SMALL($H$5:$H$304,178))="","",INDEX(Inventory!C:C,SMALL($H$5:$H$304,178))),"")</f>
        <v/>
      </c>
      <c r="D182" s="11" t="str">
        <f aca="false">IFERROR(IF(INDEX(Inventory!D:D,SMALL($H$5:$H$304,178))="","",INDEX(Inventory!D:D,SMALL($H$5:$H$304,178))),"")</f>
        <v/>
      </c>
      <c r="E182" s="11" t="str">
        <f aca="false">IFERROR(IF(INDEX(Inventory!E:E,SMALL($H$5:$H$304,178))="","",INDEX(Inventory!E:E,SMALL($H$5:$H$304,178))),"")</f>
        <v/>
      </c>
      <c r="F182" s="11" t="str">
        <f aca="false">IFERROR(IF(INDEX(Inventory!F:F,SMALL($H$5:$H$304,178))="","",INDEX(Inventory!F:F,SMALL($H$5:$H$304,178))),"")</f>
        <v/>
      </c>
      <c r="G182" s="11" t="str">
        <f aca="false">IFERROR(IF(INDEX(Inventory!G:G,SMALL($H$5:$H$304,178))="","",INDEX(Inventory!G:G,SMALL($H$5:$H$304,178))),"")</f>
        <v/>
      </c>
      <c r="H182" s="1" t="str">
        <f aca="false">IF(Inventory!A180="","",IF(ISNUMBER(SEARCH($C$2,Inventory!A180)),ROW(Inventory!A180),""))</f>
        <v/>
      </c>
    </row>
    <row r="183" customFormat="false" ht="15" hidden="false" customHeight="false" outlineLevel="0" collapsed="false">
      <c r="A183" s="13" t="str">
        <f aca="false">IFERROR(IF(INDEX(Inventory!A:A,SMALL($H$5:$H$304,179))="","",INDEX(Inventory!A:A,SMALL($H$5:$H$304,179))),"")</f>
        <v/>
      </c>
      <c r="B183" s="13" t="str">
        <f aca="false">IFERROR(IF(INDEX(Inventory!B:B,SMALL($H$5:$H$304,179))="","",INDEX(Inventory!B:B,SMALL($H$5:$H$304,179))),"")</f>
        <v/>
      </c>
      <c r="C183" s="13" t="str">
        <f aca="false">IFERROR(IF(INDEX(Inventory!C:C,SMALL($H$5:$H$304,179))="","",INDEX(Inventory!C:C,SMALL($H$5:$H$304,179))),"")</f>
        <v/>
      </c>
      <c r="D183" s="13" t="str">
        <f aca="false">IFERROR(IF(INDEX(Inventory!D:D,SMALL($H$5:$H$304,179))="","",INDEX(Inventory!D:D,SMALL($H$5:$H$304,179))),"")</f>
        <v/>
      </c>
      <c r="E183" s="13" t="str">
        <f aca="false">IFERROR(IF(INDEX(Inventory!E:E,SMALL($H$5:$H$304,179))="","",INDEX(Inventory!E:E,SMALL($H$5:$H$304,179))),"")</f>
        <v/>
      </c>
      <c r="F183" s="13" t="str">
        <f aca="false">IFERROR(IF(INDEX(Inventory!F:F,SMALL($H$5:$H$304,179))="","",INDEX(Inventory!F:F,SMALL($H$5:$H$304,179))),"")</f>
        <v/>
      </c>
      <c r="G183" s="13" t="str">
        <f aca="false">IFERROR(IF(INDEX(Inventory!G:G,SMALL($H$5:$H$304,179))="","",INDEX(Inventory!G:G,SMALL($H$5:$H$304,179))),"")</f>
        <v/>
      </c>
      <c r="H183" s="1" t="str">
        <f aca="false">IF(Inventory!A181="","",IF(ISNUMBER(SEARCH($C$2,Inventory!A181)),ROW(Inventory!A181),""))</f>
        <v/>
      </c>
    </row>
    <row r="184" customFormat="false" ht="15" hidden="false" customHeight="false" outlineLevel="0" collapsed="false">
      <c r="A184" s="11" t="str">
        <f aca="false">IFERROR(IF(INDEX(Inventory!A:A,SMALL($H$5:$H$304,180))="","",INDEX(Inventory!A:A,SMALL($H$5:$H$304,180))),"")</f>
        <v/>
      </c>
      <c r="B184" s="11" t="str">
        <f aca="false">IFERROR(IF(INDEX(Inventory!B:B,SMALL($H$5:$H$304,180))="","",INDEX(Inventory!B:B,SMALL($H$5:$H$304,180))),"")</f>
        <v/>
      </c>
      <c r="C184" s="11" t="str">
        <f aca="false">IFERROR(IF(INDEX(Inventory!C:C,SMALL($H$5:$H$304,180))="","",INDEX(Inventory!C:C,SMALL($H$5:$H$304,180))),"")</f>
        <v/>
      </c>
      <c r="D184" s="11" t="str">
        <f aca="false">IFERROR(IF(INDEX(Inventory!D:D,SMALL($H$5:$H$304,180))="","",INDEX(Inventory!D:D,SMALL($H$5:$H$304,180))),"")</f>
        <v/>
      </c>
      <c r="E184" s="11" t="str">
        <f aca="false">IFERROR(IF(INDEX(Inventory!E:E,SMALL($H$5:$H$304,180))="","",INDEX(Inventory!E:E,SMALL($H$5:$H$304,180))),"")</f>
        <v/>
      </c>
      <c r="F184" s="11" t="str">
        <f aca="false">IFERROR(IF(INDEX(Inventory!F:F,SMALL($H$5:$H$304,180))="","",INDEX(Inventory!F:F,SMALL($H$5:$H$304,180))),"")</f>
        <v/>
      </c>
      <c r="G184" s="11" t="str">
        <f aca="false">IFERROR(IF(INDEX(Inventory!G:G,SMALL($H$5:$H$304,180))="","",INDEX(Inventory!G:G,SMALL($H$5:$H$304,180))),"")</f>
        <v/>
      </c>
      <c r="H184" s="1" t="str">
        <f aca="false">IF(Inventory!A182="","",IF(ISNUMBER(SEARCH($C$2,Inventory!A182)),ROW(Inventory!A182),""))</f>
        <v/>
      </c>
    </row>
    <row r="185" customFormat="false" ht="15" hidden="false" customHeight="false" outlineLevel="0" collapsed="false">
      <c r="A185" s="13" t="str">
        <f aca="false">IFERROR(IF(INDEX(Inventory!A:A,SMALL($H$5:$H$304,181))="","",INDEX(Inventory!A:A,SMALL($H$5:$H$304,181))),"")</f>
        <v/>
      </c>
      <c r="B185" s="13" t="str">
        <f aca="false">IFERROR(IF(INDEX(Inventory!B:B,SMALL($H$5:$H$304,181))="","",INDEX(Inventory!B:B,SMALL($H$5:$H$304,181))),"")</f>
        <v/>
      </c>
      <c r="C185" s="13" t="str">
        <f aca="false">IFERROR(IF(INDEX(Inventory!C:C,SMALL($H$5:$H$304,181))="","",INDEX(Inventory!C:C,SMALL($H$5:$H$304,181))),"")</f>
        <v/>
      </c>
      <c r="D185" s="13" t="str">
        <f aca="false">IFERROR(IF(INDEX(Inventory!D:D,SMALL($H$5:$H$304,181))="","",INDEX(Inventory!D:D,SMALL($H$5:$H$304,181))),"")</f>
        <v/>
      </c>
      <c r="E185" s="13" t="str">
        <f aca="false">IFERROR(IF(INDEX(Inventory!E:E,SMALL($H$5:$H$304,181))="","",INDEX(Inventory!E:E,SMALL($H$5:$H$304,181))),"")</f>
        <v/>
      </c>
      <c r="F185" s="13" t="str">
        <f aca="false">IFERROR(IF(INDEX(Inventory!F:F,SMALL($H$5:$H$304,181))="","",INDEX(Inventory!F:F,SMALL($H$5:$H$304,181))),"")</f>
        <v/>
      </c>
      <c r="G185" s="13" t="str">
        <f aca="false">IFERROR(IF(INDEX(Inventory!G:G,SMALL($H$5:$H$304,181))="","",INDEX(Inventory!G:G,SMALL($H$5:$H$304,181))),"")</f>
        <v/>
      </c>
      <c r="H185" s="1" t="str">
        <f aca="false">IF(Inventory!A183="","",IF(ISNUMBER(SEARCH($C$2,Inventory!A183)),ROW(Inventory!A183),""))</f>
        <v/>
      </c>
    </row>
    <row r="186" customFormat="false" ht="15" hidden="false" customHeight="false" outlineLevel="0" collapsed="false">
      <c r="A186" s="11" t="str">
        <f aca="false">IFERROR(IF(INDEX(Inventory!A:A,SMALL($H$5:$H$304,182))="","",INDEX(Inventory!A:A,SMALL($H$5:$H$304,182))),"")</f>
        <v/>
      </c>
      <c r="B186" s="11" t="str">
        <f aca="false">IFERROR(IF(INDEX(Inventory!B:B,SMALL($H$5:$H$304,182))="","",INDEX(Inventory!B:B,SMALL($H$5:$H$304,182))),"")</f>
        <v/>
      </c>
      <c r="C186" s="11" t="str">
        <f aca="false">IFERROR(IF(INDEX(Inventory!C:C,SMALL($H$5:$H$304,182))="","",INDEX(Inventory!C:C,SMALL($H$5:$H$304,182))),"")</f>
        <v/>
      </c>
      <c r="D186" s="11" t="str">
        <f aca="false">IFERROR(IF(INDEX(Inventory!D:D,SMALL($H$5:$H$304,182))="","",INDEX(Inventory!D:D,SMALL($H$5:$H$304,182))),"")</f>
        <v/>
      </c>
      <c r="E186" s="11" t="str">
        <f aca="false">IFERROR(IF(INDEX(Inventory!E:E,SMALL($H$5:$H$304,182))="","",INDEX(Inventory!E:E,SMALL($H$5:$H$304,182))),"")</f>
        <v/>
      </c>
      <c r="F186" s="11" t="str">
        <f aca="false">IFERROR(IF(INDEX(Inventory!F:F,SMALL($H$5:$H$304,182))="","",INDEX(Inventory!F:F,SMALL($H$5:$H$304,182))),"")</f>
        <v/>
      </c>
      <c r="G186" s="11" t="str">
        <f aca="false">IFERROR(IF(INDEX(Inventory!G:G,SMALL($H$5:$H$304,182))="","",INDEX(Inventory!G:G,SMALL($H$5:$H$304,182))),"")</f>
        <v/>
      </c>
      <c r="H186" s="1" t="str">
        <f aca="false">IF(Inventory!A184="","",IF(ISNUMBER(SEARCH($C$2,Inventory!A184)),ROW(Inventory!A184),""))</f>
        <v/>
      </c>
    </row>
    <row r="187" customFormat="false" ht="15" hidden="false" customHeight="false" outlineLevel="0" collapsed="false">
      <c r="A187" s="13" t="str">
        <f aca="false">IFERROR(IF(INDEX(Inventory!A:A,SMALL($H$5:$H$304,183))="","",INDEX(Inventory!A:A,SMALL($H$5:$H$304,183))),"")</f>
        <v/>
      </c>
      <c r="B187" s="13" t="str">
        <f aca="false">IFERROR(IF(INDEX(Inventory!B:B,SMALL($H$5:$H$304,183))="","",INDEX(Inventory!B:B,SMALL($H$5:$H$304,183))),"")</f>
        <v/>
      </c>
      <c r="C187" s="13" t="str">
        <f aca="false">IFERROR(IF(INDEX(Inventory!C:C,SMALL($H$5:$H$304,183))="","",INDEX(Inventory!C:C,SMALL($H$5:$H$304,183))),"")</f>
        <v/>
      </c>
      <c r="D187" s="13" t="str">
        <f aca="false">IFERROR(IF(INDEX(Inventory!D:D,SMALL($H$5:$H$304,183))="","",INDEX(Inventory!D:D,SMALL($H$5:$H$304,183))),"")</f>
        <v/>
      </c>
      <c r="E187" s="13" t="str">
        <f aca="false">IFERROR(IF(INDEX(Inventory!E:E,SMALL($H$5:$H$304,183))="","",INDEX(Inventory!E:E,SMALL($H$5:$H$304,183))),"")</f>
        <v/>
      </c>
      <c r="F187" s="13" t="str">
        <f aca="false">IFERROR(IF(INDEX(Inventory!F:F,SMALL($H$5:$H$304,183))="","",INDEX(Inventory!F:F,SMALL($H$5:$H$304,183))),"")</f>
        <v/>
      </c>
      <c r="G187" s="13" t="str">
        <f aca="false">IFERROR(IF(INDEX(Inventory!G:G,SMALL($H$5:$H$304,183))="","",INDEX(Inventory!G:G,SMALL($H$5:$H$304,183))),"")</f>
        <v/>
      </c>
      <c r="H187" s="1" t="str">
        <f aca="false">IF(Inventory!A185="","",IF(ISNUMBER(SEARCH($C$2,Inventory!A185)),ROW(Inventory!A185),""))</f>
        <v/>
      </c>
    </row>
    <row r="188" customFormat="false" ht="15" hidden="false" customHeight="false" outlineLevel="0" collapsed="false">
      <c r="A188" s="11" t="str">
        <f aca="false">IFERROR(IF(INDEX(Inventory!A:A,SMALL($H$5:$H$304,184))="","",INDEX(Inventory!A:A,SMALL($H$5:$H$304,184))),"")</f>
        <v/>
      </c>
      <c r="B188" s="11" t="str">
        <f aca="false">IFERROR(IF(INDEX(Inventory!B:B,SMALL($H$5:$H$304,184))="","",INDEX(Inventory!B:B,SMALL($H$5:$H$304,184))),"")</f>
        <v/>
      </c>
      <c r="C188" s="11" t="str">
        <f aca="false">IFERROR(IF(INDEX(Inventory!C:C,SMALL($H$5:$H$304,184))="","",INDEX(Inventory!C:C,SMALL($H$5:$H$304,184))),"")</f>
        <v/>
      </c>
      <c r="D188" s="11" t="str">
        <f aca="false">IFERROR(IF(INDEX(Inventory!D:D,SMALL($H$5:$H$304,184))="","",INDEX(Inventory!D:D,SMALL($H$5:$H$304,184))),"")</f>
        <v/>
      </c>
      <c r="E188" s="11" t="str">
        <f aca="false">IFERROR(IF(INDEX(Inventory!E:E,SMALL($H$5:$H$304,184))="","",INDEX(Inventory!E:E,SMALL($H$5:$H$304,184))),"")</f>
        <v/>
      </c>
      <c r="F188" s="11" t="str">
        <f aca="false">IFERROR(IF(INDEX(Inventory!F:F,SMALL($H$5:$H$304,184))="","",INDEX(Inventory!F:F,SMALL($H$5:$H$304,184))),"")</f>
        <v/>
      </c>
      <c r="G188" s="11" t="str">
        <f aca="false">IFERROR(IF(INDEX(Inventory!G:G,SMALL($H$5:$H$304,184))="","",INDEX(Inventory!G:G,SMALL($H$5:$H$304,184))),"")</f>
        <v/>
      </c>
      <c r="H188" s="1" t="str">
        <f aca="false">IF(Inventory!A186="","",IF(ISNUMBER(SEARCH($C$2,Inventory!A186)),ROW(Inventory!A186),""))</f>
        <v/>
      </c>
    </row>
    <row r="189" customFormat="false" ht="15" hidden="false" customHeight="false" outlineLevel="0" collapsed="false">
      <c r="A189" s="13" t="str">
        <f aca="false">IFERROR(IF(INDEX(Inventory!A:A,SMALL($H$5:$H$304,185))="","",INDEX(Inventory!A:A,SMALL($H$5:$H$304,185))),"")</f>
        <v/>
      </c>
      <c r="B189" s="13" t="str">
        <f aca="false">IFERROR(IF(INDEX(Inventory!B:B,SMALL($H$5:$H$304,185))="","",INDEX(Inventory!B:B,SMALL($H$5:$H$304,185))),"")</f>
        <v/>
      </c>
      <c r="C189" s="13" t="str">
        <f aca="false">IFERROR(IF(INDEX(Inventory!C:C,SMALL($H$5:$H$304,185))="","",INDEX(Inventory!C:C,SMALL($H$5:$H$304,185))),"")</f>
        <v/>
      </c>
      <c r="D189" s="13" t="str">
        <f aca="false">IFERROR(IF(INDEX(Inventory!D:D,SMALL($H$5:$H$304,185))="","",INDEX(Inventory!D:D,SMALL($H$5:$H$304,185))),"")</f>
        <v/>
      </c>
      <c r="E189" s="13" t="str">
        <f aca="false">IFERROR(IF(INDEX(Inventory!E:E,SMALL($H$5:$H$304,185))="","",INDEX(Inventory!E:E,SMALL($H$5:$H$304,185))),"")</f>
        <v/>
      </c>
      <c r="F189" s="13" t="str">
        <f aca="false">IFERROR(IF(INDEX(Inventory!F:F,SMALL($H$5:$H$304,185))="","",INDEX(Inventory!F:F,SMALL($H$5:$H$304,185))),"")</f>
        <v/>
      </c>
      <c r="G189" s="13" t="str">
        <f aca="false">IFERROR(IF(INDEX(Inventory!G:G,SMALL($H$5:$H$304,185))="","",INDEX(Inventory!G:G,SMALL($H$5:$H$304,185))),"")</f>
        <v/>
      </c>
      <c r="H189" s="1" t="str">
        <f aca="false">IF(Inventory!A187="","",IF(ISNUMBER(SEARCH($C$2,Inventory!A187)),ROW(Inventory!A187),""))</f>
        <v/>
      </c>
    </row>
    <row r="190" customFormat="false" ht="15" hidden="false" customHeight="false" outlineLevel="0" collapsed="false">
      <c r="A190" s="11" t="str">
        <f aca="false">IFERROR(IF(INDEX(Inventory!A:A,SMALL($H$5:$H$304,186))="","",INDEX(Inventory!A:A,SMALL($H$5:$H$304,186))),"")</f>
        <v/>
      </c>
      <c r="B190" s="11" t="str">
        <f aca="false">IFERROR(IF(INDEX(Inventory!B:B,SMALL($H$5:$H$304,186))="","",INDEX(Inventory!B:B,SMALL($H$5:$H$304,186))),"")</f>
        <v/>
      </c>
      <c r="C190" s="11" t="str">
        <f aca="false">IFERROR(IF(INDEX(Inventory!C:C,SMALL($H$5:$H$304,186))="","",INDEX(Inventory!C:C,SMALL($H$5:$H$304,186))),"")</f>
        <v/>
      </c>
      <c r="D190" s="11" t="str">
        <f aca="false">IFERROR(IF(INDEX(Inventory!D:D,SMALL($H$5:$H$304,186))="","",INDEX(Inventory!D:D,SMALL($H$5:$H$304,186))),"")</f>
        <v/>
      </c>
      <c r="E190" s="11" t="str">
        <f aca="false">IFERROR(IF(INDEX(Inventory!E:E,SMALL($H$5:$H$304,186))="","",INDEX(Inventory!E:E,SMALL($H$5:$H$304,186))),"")</f>
        <v/>
      </c>
      <c r="F190" s="11" t="str">
        <f aca="false">IFERROR(IF(INDEX(Inventory!F:F,SMALL($H$5:$H$304,186))="","",INDEX(Inventory!F:F,SMALL($H$5:$H$304,186))),"")</f>
        <v/>
      </c>
      <c r="G190" s="11" t="str">
        <f aca="false">IFERROR(IF(INDEX(Inventory!G:G,SMALL($H$5:$H$304,186))="","",INDEX(Inventory!G:G,SMALL($H$5:$H$304,186))),"")</f>
        <v/>
      </c>
      <c r="H190" s="1" t="str">
        <f aca="false">IF(Inventory!A188="","",IF(ISNUMBER(SEARCH($C$2,Inventory!A188)),ROW(Inventory!A188),""))</f>
        <v/>
      </c>
    </row>
    <row r="191" customFormat="false" ht="15" hidden="false" customHeight="false" outlineLevel="0" collapsed="false">
      <c r="A191" s="13" t="str">
        <f aca="false">IFERROR(IF(INDEX(Inventory!A:A,SMALL($H$5:$H$304,187))="","",INDEX(Inventory!A:A,SMALL($H$5:$H$304,187))),"")</f>
        <v/>
      </c>
      <c r="B191" s="13" t="str">
        <f aca="false">IFERROR(IF(INDEX(Inventory!B:B,SMALL($H$5:$H$304,187))="","",INDEX(Inventory!B:B,SMALL($H$5:$H$304,187))),"")</f>
        <v/>
      </c>
      <c r="C191" s="13" t="str">
        <f aca="false">IFERROR(IF(INDEX(Inventory!C:C,SMALL($H$5:$H$304,187))="","",INDEX(Inventory!C:C,SMALL($H$5:$H$304,187))),"")</f>
        <v/>
      </c>
      <c r="D191" s="13" t="str">
        <f aca="false">IFERROR(IF(INDEX(Inventory!D:D,SMALL($H$5:$H$304,187))="","",INDEX(Inventory!D:D,SMALL($H$5:$H$304,187))),"")</f>
        <v/>
      </c>
      <c r="E191" s="13" t="str">
        <f aca="false">IFERROR(IF(INDEX(Inventory!E:E,SMALL($H$5:$H$304,187))="","",INDEX(Inventory!E:E,SMALL($H$5:$H$304,187))),"")</f>
        <v/>
      </c>
      <c r="F191" s="13" t="str">
        <f aca="false">IFERROR(IF(INDEX(Inventory!F:F,SMALL($H$5:$H$304,187))="","",INDEX(Inventory!F:F,SMALL($H$5:$H$304,187))),"")</f>
        <v/>
      </c>
      <c r="G191" s="13" t="str">
        <f aca="false">IFERROR(IF(INDEX(Inventory!G:G,SMALL($H$5:$H$304,187))="","",INDEX(Inventory!G:G,SMALL($H$5:$H$304,187))),"")</f>
        <v/>
      </c>
      <c r="H191" s="1" t="str">
        <f aca="false">IF(Inventory!A189="","",IF(ISNUMBER(SEARCH($C$2,Inventory!A189)),ROW(Inventory!A189),""))</f>
        <v/>
      </c>
    </row>
    <row r="192" customFormat="false" ht="15" hidden="false" customHeight="false" outlineLevel="0" collapsed="false">
      <c r="A192" s="11" t="str">
        <f aca="false">IFERROR(IF(INDEX(Inventory!A:A,SMALL($H$5:$H$304,188))="","",INDEX(Inventory!A:A,SMALL($H$5:$H$304,188))),"")</f>
        <v/>
      </c>
      <c r="B192" s="11" t="str">
        <f aca="false">IFERROR(IF(INDEX(Inventory!B:B,SMALL($H$5:$H$304,188))="","",INDEX(Inventory!B:B,SMALL($H$5:$H$304,188))),"")</f>
        <v/>
      </c>
      <c r="C192" s="11" t="str">
        <f aca="false">IFERROR(IF(INDEX(Inventory!C:C,SMALL($H$5:$H$304,188))="","",INDEX(Inventory!C:C,SMALL($H$5:$H$304,188))),"")</f>
        <v/>
      </c>
      <c r="D192" s="11" t="str">
        <f aca="false">IFERROR(IF(INDEX(Inventory!D:D,SMALL($H$5:$H$304,188))="","",INDEX(Inventory!D:D,SMALL($H$5:$H$304,188))),"")</f>
        <v/>
      </c>
      <c r="E192" s="11" t="str">
        <f aca="false">IFERROR(IF(INDEX(Inventory!E:E,SMALL($H$5:$H$304,188))="","",INDEX(Inventory!E:E,SMALL($H$5:$H$304,188))),"")</f>
        <v/>
      </c>
      <c r="F192" s="11" t="str">
        <f aca="false">IFERROR(IF(INDEX(Inventory!F:F,SMALL($H$5:$H$304,188))="","",INDEX(Inventory!F:F,SMALL($H$5:$H$304,188))),"")</f>
        <v/>
      </c>
      <c r="G192" s="11" t="str">
        <f aca="false">IFERROR(IF(INDEX(Inventory!G:G,SMALL($H$5:$H$304,188))="","",INDEX(Inventory!G:G,SMALL($H$5:$H$304,188))),"")</f>
        <v/>
      </c>
      <c r="H192" s="1" t="str">
        <f aca="false">IF(Inventory!A190="","",IF(ISNUMBER(SEARCH($C$2,Inventory!A190)),ROW(Inventory!A190),""))</f>
        <v/>
      </c>
    </row>
    <row r="193" customFormat="false" ht="15" hidden="false" customHeight="false" outlineLevel="0" collapsed="false">
      <c r="A193" s="13" t="str">
        <f aca="false">IFERROR(IF(INDEX(Inventory!A:A,SMALL($H$5:$H$304,189))="","",INDEX(Inventory!A:A,SMALL($H$5:$H$304,189))),"")</f>
        <v/>
      </c>
      <c r="B193" s="13" t="str">
        <f aca="false">IFERROR(IF(INDEX(Inventory!B:B,SMALL($H$5:$H$304,189))="","",INDEX(Inventory!B:B,SMALL($H$5:$H$304,189))),"")</f>
        <v/>
      </c>
      <c r="C193" s="13" t="str">
        <f aca="false">IFERROR(IF(INDEX(Inventory!C:C,SMALL($H$5:$H$304,189))="","",INDEX(Inventory!C:C,SMALL($H$5:$H$304,189))),"")</f>
        <v/>
      </c>
      <c r="D193" s="13" t="str">
        <f aca="false">IFERROR(IF(INDEX(Inventory!D:D,SMALL($H$5:$H$304,189))="","",INDEX(Inventory!D:D,SMALL($H$5:$H$304,189))),"")</f>
        <v/>
      </c>
      <c r="E193" s="13" t="str">
        <f aca="false">IFERROR(IF(INDEX(Inventory!E:E,SMALL($H$5:$H$304,189))="","",INDEX(Inventory!E:E,SMALL($H$5:$H$304,189))),"")</f>
        <v/>
      </c>
      <c r="F193" s="13" t="str">
        <f aca="false">IFERROR(IF(INDEX(Inventory!F:F,SMALL($H$5:$H$304,189))="","",INDEX(Inventory!F:F,SMALL($H$5:$H$304,189))),"")</f>
        <v/>
      </c>
      <c r="G193" s="13" t="str">
        <f aca="false">IFERROR(IF(INDEX(Inventory!G:G,SMALL($H$5:$H$304,189))="","",INDEX(Inventory!G:G,SMALL($H$5:$H$304,189))),"")</f>
        <v/>
      </c>
      <c r="H193" s="1" t="str">
        <f aca="false">IF(Inventory!A191="","",IF(ISNUMBER(SEARCH($C$2,Inventory!A191)),ROW(Inventory!A191),""))</f>
        <v/>
      </c>
    </row>
    <row r="194" customFormat="false" ht="15" hidden="false" customHeight="false" outlineLevel="0" collapsed="false">
      <c r="A194" s="11" t="str">
        <f aca="false">IFERROR(IF(INDEX(Inventory!A:A,SMALL($H$5:$H$304,190))="","",INDEX(Inventory!A:A,SMALL($H$5:$H$304,190))),"")</f>
        <v/>
      </c>
      <c r="B194" s="11" t="str">
        <f aca="false">IFERROR(IF(INDEX(Inventory!B:B,SMALL($H$5:$H$304,190))="","",INDEX(Inventory!B:B,SMALL($H$5:$H$304,190))),"")</f>
        <v/>
      </c>
      <c r="C194" s="11" t="str">
        <f aca="false">IFERROR(IF(INDEX(Inventory!C:C,SMALL($H$5:$H$304,190))="","",INDEX(Inventory!C:C,SMALL($H$5:$H$304,190))),"")</f>
        <v/>
      </c>
      <c r="D194" s="11" t="str">
        <f aca="false">IFERROR(IF(INDEX(Inventory!D:D,SMALL($H$5:$H$304,190))="","",INDEX(Inventory!D:D,SMALL($H$5:$H$304,190))),"")</f>
        <v/>
      </c>
      <c r="E194" s="11" t="str">
        <f aca="false">IFERROR(IF(INDEX(Inventory!E:E,SMALL($H$5:$H$304,190))="","",INDEX(Inventory!E:E,SMALL($H$5:$H$304,190))),"")</f>
        <v/>
      </c>
      <c r="F194" s="11" t="str">
        <f aca="false">IFERROR(IF(INDEX(Inventory!F:F,SMALL($H$5:$H$304,190))="","",INDEX(Inventory!F:F,SMALL($H$5:$H$304,190))),"")</f>
        <v/>
      </c>
      <c r="G194" s="11" t="str">
        <f aca="false">IFERROR(IF(INDEX(Inventory!G:G,SMALL($H$5:$H$304,190))="","",INDEX(Inventory!G:G,SMALL($H$5:$H$304,190))),"")</f>
        <v/>
      </c>
      <c r="H194" s="1" t="str">
        <f aca="false">IF(Inventory!A192="","",IF(ISNUMBER(SEARCH($C$2,Inventory!A192)),ROW(Inventory!A192),""))</f>
        <v/>
      </c>
    </row>
    <row r="195" customFormat="false" ht="15" hidden="false" customHeight="false" outlineLevel="0" collapsed="false">
      <c r="A195" s="13" t="str">
        <f aca="false">IFERROR(IF(INDEX(Inventory!A:A,SMALL($H$5:$H$304,191))="","",INDEX(Inventory!A:A,SMALL($H$5:$H$304,191))),"")</f>
        <v/>
      </c>
      <c r="B195" s="13" t="str">
        <f aca="false">IFERROR(IF(INDEX(Inventory!B:B,SMALL($H$5:$H$304,191))="","",INDEX(Inventory!B:B,SMALL($H$5:$H$304,191))),"")</f>
        <v/>
      </c>
      <c r="C195" s="13" t="str">
        <f aca="false">IFERROR(IF(INDEX(Inventory!C:C,SMALL($H$5:$H$304,191))="","",INDEX(Inventory!C:C,SMALL($H$5:$H$304,191))),"")</f>
        <v/>
      </c>
      <c r="D195" s="13" t="str">
        <f aca="false">IFERROR(IF(INDEX(Inventory!D:D,SMALL($H$5:$H$304,191))="","",INDEX(Inventory!D:D,SMALL($H$5:$H$304,191))),"")</f>
        <v/>
      </c>
      <c r="E195" s="13" t="str">
        <f aca="false">IFERROR(IF(INDEX(Inventory!E:E,SMALL($H$5:$H$304,191))="","",INDEX(Inventory!E:E,SMALL($H$5:$H$304,191))),"")</f>
        <v/>
      </c>
      <c r="F195" s="13" t="str">
        <f aca="false">IFERROR(IF(INDEX(Inventory!F:F,SMALL($H$5:$H$304,191))="","",INDEX(Inventory!F:F,SMALL($H$5:$H$304,191))),"")</f>
        <v/>
      </c>
      <c r="G195" s="13" t="str">
        <f aca="false">IFERROR(IF(INDEX(Inventory!G:G,SMALL($H$5:$H$304,191))="","",INDEX(Inventory!G:G,SMALL($H$5:$H$304,191))),"")</f>
        <v/>
      </c>
      <c r="H195" s="1" t="str">
        <f aca="false">IF(Inventory!A193="","",IF(ISNUMBER(SEARCH($C$2,Inventory!A193)),ROW(Inventory!A193),""))</f>
        <v/>
      </c>
    </row>
    <row r="196" customFormat="false" ht="15" hidden="false" customHeight="false" outlineLevel="0" collapsed="false">
      <c r="A196" s="11" t="str">
        <f aca="false">IFERROR(IF(INDEX(Inventory!A:A,SMALL($H$5:$H$304,192))="","",INDEX(Inventory!A:A,SMALL($H$5:$H$304,192))),"")</f>
        <v/>
      </c>
      <c r="B196" s="11" t="str">
        <f aca="false">IFERROR(IF(INDEX(Inventory!B:B,SMALL($H$5:$H$304,192))="","",INDEX(Inventory!B:B,SMALL($H$5:$H$304,192))),"")</f>
        <v/>
      </c>
      <c r="C196" s="11" t="str">
        <f aca="false">IFERROR(IF(INDEX(Inventory!C:C,SMALL($H$5:$H$304,192))="","",INDEX(Inventory!C:C,SMALL($H$5:$H$304,192))),"")</f>
        <v/>
      </c>
      <c r="D196" s="11" t="str">
        <f aca="false">IFERROR(IF(INDEX(Inventory!D:D,SMALL($H$5:$H$304,192))="","",INDEX(Inventory!D:D,SMALL($H$5:$H$304,192))),"")</f>
        <v/>
      </c>
      <c r="E196" s="11" t="str">
        <f aca="false">IFERROR(IF(INDEX(Inventory!E:E,SMALL($H$5:$H$304,192))="","",INDEX(Inventory!E:E,SMALL($H$5:$H$304,192))),"")</f>
        <v/>
      </c>
      <c r="F196" s="11" t="str">
        <f aca="false">IFERROR(IF(INDEX(Inventory!F:F,SMALL($H$5:$H$304,192))="","",INDEX(Inventory!F:F,SMALL($H$5:$H$304,192))),"")</f>
        <v/>
      </c>
      <c r="G196" s="11" t="str">
        <f aca="false">IFERROR(IF(INDEX(Inventory!G:G,SMALL($H$5:$H$304,192))="","",INDEX(Inventory!G:G,SMALL($H$5:$H$304,192))),"")</f>
        <v/>
      </c>
      <c r="H196" s="1" t="str">
        <f aca="false">IF(Inventory!A194="","",IF(ISNUMBER(SEARCH($C$2,Inventory!A194)),ROW(Inventory!A194),""))</f>
        <v/>
      </c>
    </row>
    <row r="197" customFormat="false" ht="15" hidden="false" customHeight="false" outlineLevel="0" collapsed="false">
      <c r="A197" s="13" t="str">
        <f aca="false">IFERROR(IF(INDEX(Inventory!A:A,SMALL($H$5:$H$304,193))="","",INDEX(Inventory!A:A,SMALL($H$5:$H$304,193))),"")</f>
        <v/>
      </c>
      <c r="B197" s="13" t="str">
        <f aca="false">IFERROR(IF(INDEX(Inventory!B:B,SMALL($H$5:$H$304,193))="","",INDEX(Inventory!B:B,SMALL($H$5:$H$304,193))),"")</f>
        <v/>
      </c>
      <c r="C197" s="13" t="str">
        <f aca="false">IFERROR(IF(INDEX(Inventory!C:C,SMALL($H$5:$H$304,193))="","",INDEX(Inventory!C:C,SMALL($H$5:$H$304,193))),"")</f>
        <v/>
      </c>
      <c r="D197" s="13" t="str">
        <f aca="false">IFERROR(IF(INDEX(Inventory!D:D,SMALL($H$5:$H$304,193))="","",INDEX(Inventory!D:D,SMALL($H$5:$H$304,193))),"")</f>
        <v/>
      </c>
      <c r="E197" s="13" t="str">
        <f aca="false">IFERROR(IF(INDEX(Inventory!E:E,SMALL($H$5:$H$304,193))="","",INDEX(Inventory!E:E,SMALL($H$5:$H$304,193))),"")</f>
        <v/>
      </c>
      <c r="F197" s="13" t="str">
        <f aca="false">IFERROR(IF(INDEX(Inventory!F:F,SMALL($H$5:$H$304,193))="","",INDEX(Inventory!F:F,SMALL($H$5:$H$304,193))),"")</f>
        <v/>
      </c>
      <c r="G197" s="13" t="str">
        <f aca="false">IFERROR(IF(INDEX(Inventory!G:G,SMALL($H$5:$H$304,193))="","",INDEX(Inventory!G:G,SMALL($H$5:$H$304,193))),"")</f>
        <v/>
      </c>
      <c r="H197" s="1" t="str">
        <f aca="false">IF(Inventory!A195="","",IF(ISNUMBER(SEARCH($C$2,Inventory!A195)),ROW(Inventory!A195),""))</f>
        <v/>
      </c>
    </row>
    <row r="198" customFormat="false" ht="15" hidden="false" customHeight="false" outlineLevel="0" collapsed="false">
      <c r="A198" s="11" t="str">
        <f aca="false">IFERROR(IF(INDEX(Inventory!A:A,SMALL($H$5:$H$304,194))="","",INDEX(Inventory!A:A,SMALL($H$5:$H$304,194))),"")</f>
        <v/>
      </c>
      <c r="B198" s="11" t="str">
        <f aca="false">IFERROR(IF(INDEX(Inventory!B:B,SMALL($H$5:$H$304,194))="","",INDEX(Inventory!B:B,SMALL($H$5:$H$304,194))),"")</f>
        <v/>
      </c>
      <c r="C198" s="11" t="str">
        <f aca="false">IFERROR(IF(INDEX(Inventory!C:C,SMALL($H$5:$H$304,194))="","",INDEX(Inventory!C:C,SMALL($H$5:$H$304,194))),"")</f>
        <v/>
      </c>
      <c r="D198" s="11" t="str">
        <f aca="false">IFERROR(IF(INDEX(Inventory!D:D,SMALL($H$5:$H$304,194))="","",INDEX(Inventory!D:D,SMALL($H$5:$H$304,194))),"")</f>
        <v/>
      </c>
      <c r="E198" s="11" t="str">
        <f aca="false">IFERROR(IF(INDEX(Inventory!E:E,SMALL($H$5:$H$304,194))="","",INDEX(Inventory!E:E,SMALL($H$5:$H$304,194))),"")</f>
        <v/>
      </c>
      <c r="F198" s="11" t="str">
        <f aca="false">IFERROR(IF(INDEX(Inventory!F:F,SMALL($H$5:$H$304,194))="","",INDEX(Inventory!F:F,SMALL($H$5:$H$304,194))),"")</f>
        <v/>
      </c>
      <c r="G198" s="11" t="str">
        <f aca="false">IFERROR(IF(INDEX(Inventory!G:G,SMALL($H$5:$H$304,194))="","",INDEX(Inventory!G:G,SMALL($H$5:$H$304,194))),"")</f>
        <v/>
      </c>
      <c r="H198" s="1" t="str">
        <f aca="false">IF(Inventory!A196="","",IF(ISNUMBER(SEARCH($C$2,Inventory!A196)),ROW(Inventory!A196),""))</f>
        <v/>
      </c>
    </row>
    <row r="199" customFormat="false" ht="15" hidden="false" customHeight="false" outlineLevel="0" collapsed="false">
      <c r="A199" s="13" t="str">
        <f aca="false">IFERROR(IF(INDEX(Inventory!A:A,SMALL($H$5:$H$304,195))="","",INDEX(Inventory!A:A,SMALL($H$5:$H$304,195))),"")</f>
        <v/>
      </c>
      <c r="B199" s="13" t="str">
        <f aca="false">IFERROR(IF(INDEX(Inventory!B:B,SMALL($H$5:$H$304,195))="","",INDEX(Inventory!B:B,SMALL($H$5:$H$304,195))),"")</f>
        <v/>
      </c>
      <c r="C199" s="13" t="str">
        <f aca="false">IFERROR(IF(INDEX(Inventory!C:C,SMALL($H$5:$H$304,195))="","",INDEX(Inventory!C:C,SMALL($H$5:$H$304,195))),"")</f>
        <v/>
      </c>
      <c r="D199" s="13" t="str">
        <f aca="false">IFERROR(IF(INDEX(Inventory!D:D,SMALL($H$5:$H$304,195))="","",INDEX(Inventory!D:D,SMALL($H$5:$H$304,195))),"")</f>
        <v/>
      </c>
      <c r="E199" s="13" t="str">
        <f aca="false">IFERROR(IF(INDEX(Inventory!E:E,SMALL($H$5:$H$304,195))="","",INDEX(Inventory!E:E,SMALL($H$5:$H$304,195))),"")</f>
        <v/>
      </c>
      <c r="F199" s="13" t="str">
        <f aca="false">IFERROR(IF(INDEX(Inventory!F:F,SMALL($H$5:$H$304,195))="","",INDEX(Inventory!F:F,SMALL($H$5:$H$304,195))),"")</f>
        <v/>
      </c>
      <c r="G199" s="13" t="str">
        <f aca="false">IFERROR(IF(INDEX(Inventory!G:G,SMALL($H$5:$H$304,195))="","",INDEX(Inventory!G:G,SMALL($H$5:$H$304,195))),"")</f>
        <v/>
      </c>
      <c r="H199" s="1" t="str">
        <f aca="false">IF(Inventory!A197="","",IF(ISNUMBER(SEARCH($C$2,Inventory!A197)),ROW(Inventory!A197),""))</f>
        <v/>
      </c>
    </row>
    <row r="200" customFormat="false" ht="15" hidden="false" customHeight="false" outlineLevel="0" collapsed="false">
      <c r="A200" s="11" t="str">
        <f aca="false">IFERROR(IF(INDEX(Inventory!A:A,SMALL($H$5:$H$304,196))="","",INDEX(Inventory!A:A,SMALL($H$5:$H$304,196))),"")</f>
        <v/>
      </c>
      <c r="B200" s="11" t="str">
        <f aca="false">IFERROR(IF(INDEX(Inventory!B:B,SMALL($H$5:$H$304,196))="","",INDEX(Inventory!B:B,SMALL($H$5:$H$304,196))),"")</f>
        <v/>
      </c>
      <c r="C200" s="11" t="str">
        <f aca="false">IFERROR(IF(INDEX(Inventory!C:C,SMALL($H$5:$H$304,196))="","",INDEX(Inventory!C:C,SMALL($H$5:$H$304,196))),"")</f>
        <v/>
      </c>
      <c r="D200" s="11" t="str">
        <f aca="false">IFERROR(IF(INDEX(Inventory!D:D,SMALL($H$5:$H$304,196))="","",INDEX(Inventory!D:D,SMALL($H$5:$H$304,196))),"")</f>
        <v/>
      </c>
      <c r="E200" s="11" t="str">
        <f aca="false">IFERROR(IF(INDEX(Inventory!E:E,SMALL($H$5:$H$304,196))="","",INDEX(Inventory!E:E,SMALL($H$5:$H$304,196))),"")</f>
        <v/>
      </c>
      <c r="F200" s="11" t="str">
        <f aca="false">IFERROR(IF(INDEX(Inventory!F:F,SMALL($H$5:$H$304,196))="","",INDEX(Inventory!F:F,SMALL($H$5:$H$304,196))),"")</f>
        <v/>
      </c>
      <c r="G200" s="11" t="str">
        <f aca="false">IFERROR(IF(INDEX(Inventory!G:G,SMALL($H$5:$H$304,196))="","",INDEX(Inventory!G:G,SMALL($H$5:$H$304,196))),"")</f>
        <v/>
      </c>
      <c r="H200" s="1" t="str">
        <f aca="false">IF(Inventory!A198="","",IF(ISNUMBER(SEARCH($C$2,Inventory!A198)),ROW(Inventory!A198),""))</f>
        <v/>
      </c>
    </row>
    <row r="201" customFormat="false" ht="15" hidden="false" customHeight="false" outlineLevel="0" collapsed="false">
      <c r="A201" s="13" t="str">
        <f aca="false">IFERROR(IF(INDEX(Inventory!A:A,SMALL($H$5:$H$304,197))="","",INDEX(Inventory!A:A,SMALL($H$5:$H$304,197))),"")</f>
        <v/>
      </c>
      <c r="B201" s="13" t="str">
        <f aca="false">IFERROR(IF(INDEX(Inventory!B:B,SMALL($H$5:$H$304,197))="","",INDEX(Inventory!B:B,SMALL($H$5:$H$304,197))),"")</f>
        <v/>
      </c>
      <c r="C201" s="13" t="str">
        <f aca="false">IFERROR(IF(INDEX(Inventory!C:C,SMALL($H$5:$H$304,197))="","",INDEX(Inventory!C:C,SMALL($H$5:$H$304,197))),"")</f>
        <v/>
      </c>
      <c r="D201" s="13" t="str">
        <f aca="false">IFERROR(IF(INDEX(Inventory!D:D,SMALL($H$5:$H$304,197))="","",INDEX(Inventory!D:D,SMALL($H$5:$H$304,197))),"")</f>
        <v/>
      </c>
      <c r="E201" s="13" t="str">
        <f aca="false">IFERROR(IF(INDEX(Inventory!E:E,SMALL($H$5:$H$304,197))="","",INDEX(Inventory!E:E,SMALL($H$5:$H$304,197))),"")</f>
        <v/>
      </c>
      <c r="F201" s="13" t="str">
        <f aca="false">IFERROR(IF(INDEX(Inventory!F:F,SMALL($H$5:$H$304,197))="","",INDEX(Inventory!F:F,SMALL($H$5:$H$304,197))),"")</f>
        <v/>
      </c>
      <c r="G201" s="13" t="str">
        <f aca="false">IFERROR(IF(INDEX(Inventory!G:G,SMALL($H$5:$H$304,197))="","",INDEX(Inventory!G:G,SMALL($H$5:$H$304,197))),"")</f>
        <v/>
      </c>
      <c r="H201" s="1" t="str">
        <f aca="false">IF(Inventory!A199="","",IF(ISNUMBER(SEARCH($C$2,Inventory!A199)),ROW(Inventory!A199),""))</f>
        <v/>
      </c>
    </row>
    <row r="202" customFormat="false" ht="15" hidden="false" customHeight="false" outlineLevel="0" collapsed="false">
      <c r="A202" s="11" t="str">
        <f aca="false">IFERROR(IF(INDEX(Inventory!A:A,SMALL($H$5:$H$304,198))="","",INDEX(Inventory!A:A,SMALL($H$5:$H$304,198))),"")</f>
        <v/>
      </c>
      <c r="B202" s="11" t="str">
        <f aca="false">IFERROR(IF(INDEX(Inventory!B:B,SMALL($H$5:$H$304,198))="","",INDEX(Inventory!B:B,SMALL($H$5:$H$304,198))),"")</f>
        <v/>
      </c>
      <c r="C202" s="11" t="str">
        <f aca="false">IFERROR(IF(INDEX(Inventory!C:C,SMALL($H$5:$H$304,198))="","",INDEX(Inventory!C:C,SMALL($H$5:$H$304,198))),"")</f>
        <v/>
      </c>
      <c r="D202" s="11" t="str">
        <f aca="false">IFERROR(IF(INDEX(Inventory!D:D,SMALL($H$5:$H$304,198))="","",INDEX(Inventory!D:D,SMALL($H$5:$H$304,198))),"")</f>
        <v/>
      </c>
      <c r="E202" s="11" t="str">
        <f aca="false">IFERROR(IF(INDEX(Inventory!E:E,SMALL($H$5:$H$304,198))="","",INDEX(Inventory!E:E,SMALL($H$5:$H$304,198))),"")</f>
        <v/>
      </c>
      <c r="F202" s="11" t="str">
        <f aca="false">IFERROR(IF(INDEX(Inventory!F:F,SMALL($H$5:$H$304,198))="","",INDEX(Inventory!F:F,SMALL($H$5:$H$304,198))),"")</f>
        <v/>
      </c>
      <c r="G202" s="11" t="str">
        <f aca="false">IFERROR(IF(INDEX(Inventory!G:G,SMALL($H$5:$H$304,198))="","",INDEX(Inventory!G:G,SMALL($H$5:$H$304,198))),"")</f>
        <v/>
      </c>
      <c r="H202" s="1" t="str">
        <f aca="false">IF(Inventory!A200="","",IF(ISNUMBER(SEARCH($C$2,Inventory!A200)),ROW(Inventory!A200),""))</f>
        <v/>
      </c>
    </row>
    <row r="203" customFormat="false" ht="15" hidden="false" customHeight="false" outlineLevel="0" collapsed="false">
      <c r="A203" s="13" t="str">
        <f aca="false">IFERROR(IF(INDEX(Inventory!A:A,SMALL($H$5:$H$304,199))="","",INDEX(Inventory!A:A,SMALL($H$5:$H$304,199))),"")</f>
        <v/>
      </c>
      <c r="B203" s="13" t="str">
        <f aca="false">IFERROR(IF(INDEX(Inventory!B:B,SMALL($H$5:$H$304,199))="","",INDEX(Inventory!B:B,SMALL($H$5:$H$304,199))),"")</f>
        <v/>
      </c>
      <c r="C203" s="13" t="str">
        <f aca="false">IFERROR(IF(INDEX(Inventory!C:C,SMALL($H$5:$H$304,199))="","",INDEX(Inventory!C:C,SMALL($H$5:$H$304,199))),"")</f>
        <v/>
      </c>
      <c r="D203" s="13" t="str">
        <f aca="false">IFERROR(IF(INDEX(Inventory!D:D,SMALL($H$5:$H$304,199))="","",INDEX(Inventory!D:D,SMALL($H$5:$H$304,199))),"")</f>
        <v/>
      </c>
      <c r="E203" s="13" t="str">
        <f aca="false">IFERROR(IF(INDEX(Inventory!E:E,SMALL($H$5:$H$304,199))="","",INDEX(Inventory!E:E,SMALL($H$5:$H$304,199))),"")</f>
        <v/>
      </c>
      <c r="F203" s="13" t="str">
        <f aca="false">IFERROR(IF(INDEX(Inventory!F:F,SMALL($H$5:$H$304,199))="","",INDEX(Inventory!F:F,SMALL($H$5:$H$304,199))),"")</f>
        <v/>
      </c>
      <c r="G203" s="13" t="str">
        <f aca="false">IFERROR(IF(INDEX(Inventory!G:G,SMALL($H$5:$H$304,199))="","",INDEX(Inventory!G:G,SMALL($H$5:$H$304,199))),"")</f>
        <v/>
      </c>
      <c r="H203" s="1" t="str">
        <f aca="false">IF(Inventory!A201="","",IF(ISNUMBER(SEARCH($C$2,Inventory!A201)),ROW(Inventory!A201),""))</f>
        <v/>
      </c>
    </row>
    <row r="204" customFormat="false" ht="15" hidden="false" customHeight="false" outlineLevel="0" collapsed="false">
      <c r="A204" s="11" t="str">
        <f aca="false">IFERROR(IF(INDEX(Inventory!A:A,SMALL($H$5:$H$304,200))="","",INDEX(Inventory!A:A,SMALL($H$5:$H$304,200))),"")</f>
        <v/>
      </c>
      <c r="B204" s="11" t="str">
        <f aca="false">IFERROR(IF(INDEX(Inventory!B:B,SMALL($H$5:$H$304,200))="","",INDEX(Inventory!B:B,SMALL($H$5:$H$304,200))),"")</f>
        <v/>
      </c>
      <c r="C204" s="11" t="str">
        <f aca="false">IFERROR(IF(INDEX(Inventory!C:C,SMALL($H$5:$H$304,200))="","",INDEX(Inventory!C:C,SMALL($H$5:$H$304,200))),"")</f>
        <v/>
      </c>
      <c r="D204" s="11" t="str">
        <f aca="false">IFERROR(IF(INDEX(Inventory!D:D,SMALL($H$5:$H$304,200))="","",INDEX(Inventory!D:D,SMALL($H$5:$H$304,200))),"")</f>
        <v/>
      </c>
      <c r="E204" s="11" t="str">
        <f aca="false">IFERROR(IF(INDEX(Inventory!E:E,SMALL($H$5:$H$304,200))="","",INDEX(Inventory!E:E,SMALL($H$5:$H$304,200))),"")</f>
        <v/>
      </c>
      <c r="F204" s="11" t="str">
        <f aca="false">IFERROR(IF(INDEX(Inventory!F:F,SMALL($H$5:$H$304,200))="","",INDEX(Inventory!F:F,SMALL($H$5:$H$304,200))),"")</f>
        <v/>
      </c>
      <c r="G204" s="11" t="str">
        <f aca="false">IFERROR(IF(INDEX(Inventory!G:G,SMALL($H$5:$H$304,200))="","",INDEX(Inventory!G:G,SMALL($H$5:$H$304,200))),"")</f>
        <v/>
      </c>
      <c r="H204" s="1" t="str">
        <f aca="false">IF(Inventory!A202="","",IF(ISNUMBER(SEARCH($C$2,Inventory!A202)),ROW(Inventory!A202),""))</f>
        <v/>
      </c>
    </row>
    <row r="205" customFormat="false" ht="15" hidden="false" customHeight="false" outlineLevel="0" collapsed="false">
      <c r="A205" s="13" t="str">
        <f aca="false">IFERROR(IF(INDEX(Inventory!A:A,SMALL($H$5:$H$304,201))="","",INDEX(Inventory!A:A,SMALL($H$5:$H$304,201))),"")</f>
        <v/>
      </c>
      <c r="B205" s="13" t="str">
        <f aca="false">IFERROR(IF(INDEX(Inventory!B:B,SMALL($H$5:$H$304,201))="","",INDEX(Inventory!B:B,SMALL($H$5:$H$304,201))),"")</f>
        <v/>
      </c>
      <c r="C205" s="13" t="str">
        <f aca="false">IFERROR(IF(INDEX(Inventory!C:C,SMALL($H$5:$H$304,201))="","",INDEX(Inventory!C:C,SMALL($H$5:$H$304,201))),"")</f>
        <v/>
      </c>
      <c r="D205" s="13" t="str">
        <f aca="false">IFERROR(IF(INDEX(Inventory!D:D,SMALL($H$5:$H$304,201))="","",INDEX(Inventory!D:D,SMALL($H$5:$H$304,201))),"")</f>
        <v/>
      </c>
      <c r="E205" s="13" t="str">
        <f aca="false">IFERROR(IF(INDEX(Inventory!E:E,SMALL($H$5:$H$304,201))="","",INDEX(Inventory!E:E,SMALL($H$5:$H$304,201))),"")</f>
        <v/>
      </c>
      <c r="F205" s="13" t="str">
        <f aca="false">IFERROR(IF(INDEX(Inventory!F:F,SMALL($H$5:$H$304,201))="","",INDEX(Inventory!F:F,SMALL($H$5:$H$304,201))),"")</f>
        <v/>
      </c>
      <c r="G205" s="13" t="str">
        <f aca="false">IFERROR(IF(INDEX(Inventory!G:G,SMALL($H$5:$H$304,201))="","",INDEX(Inventory!G:G,SMALL($H$5:$H$304,201))),"")</f>
        <v/>
      </c>
      <c r="H205" s="1" t="str">
        <f aca="false">IF(Inventory!A203="","",IF(ISNUMBER(SEARCH($C$2,Inventory!A203)),ROW(Inventory!A203),""))</f>
        <v/>
      </c>
    </row>
    <row r="206" customFormat="false" ht="15" hidden="false" customHeight="false" outlineLevel="0" collapsed="false">
      <c r="A206" s="11" t="str">
        <f aca="false">IFERROR(IF(INDEX(Inventory!A:A,SMALL($H$5:$H$304,202))="","",INDEX(Inventory!A:A,SMALL($H$5:$H$304,202))),"")</f>
        <v/>
      </c>
      <c r="B206" s="11" t="str">
        <f aca="false">IFERROR(IF(INDEX(Inventory!B:B,SMALL($H$5:$H$304,202))="","",INDEX(Inventory!B:B,SMALL($H$5:$H$304,202))),"")</f>
        <v/>
      </c>
      <c r="C206" s="11" t="str">
        <f aca="false">IFERROR(IF(INDEX(Inventory!C:C,SMALL($H$5:$H$304,202))="","",INDEX(Inventory!C:C,SMALL($H$5:$H$304,202))),"")</f>
        <v/>
      </c>
      <c r="D206" s="11" t="str">
        <f aca="false">IFERROR(IF(INDEX(Inventory!D:D,SMALL($H$5:$H$304,202))="","",INDEX(Inventory!D:D,SMALL($H$5:$H$304,202))),"")</f>
        <v/>
      </c>
      <c r="E206" s="11" t="str">
        <f aca="false">IFERROR(IF(INDEX(Inventory!E:E,SMALL($H$5:$H$304,202))="","",INDEX(Inventory!E:E,SMALL($H$5:$H$304,202))),"")</f>
        <v/>
      </c>
      <c r="F206" s="11" t="str">
        <f aca="false">IFERROR(IF(INDEX(Inventory!F:F,SMALL($H$5:$H$304,202))="","",INDEX(Inventory!F:F,SMALL($H$5:$H$304,202))),"")</f>
        <v/>
      </c>
      <c r="G206" s="11" t="str">
        <f aca="false">IFERROR(IF(INDEX(Inventory!G:G,SMALL($H$5:$H$304,202))="","",INDEX(Inventory!G:G,SMALL($H$5:$H$304,202))),"")</f>
        <v/>
      </c>
      <c r="H206" s="1" t="str">
        <f aca="false">IF(Inventory!A204="","",IF(ISNUMBER(SEARCH($C$2,Inventory!A204)),ROW(Inventory!A204),""))</f>
        <v/>
      </c>
    </row>
    <row r="207" customFormat="false" ht="15" hidden="false" customHeight="false" outlineLevel="0" collapsed="false">
      <c r="A207" s="13" t="str">
        <f aca="false">IFERROR(IF(INDEX(Inventory!A:A,SMALL($H$5:$H$304,203))="","",INDEX(Inventory!A:A,SMALL($H$5:$H$304,203))),"")</f>
        <v/>
      </c>
      <c r="B207" s="13" t="str">
        <f aca="false">IFERROR(IF(INDEX(Inventory!B:B,SMALL($H$5:$H$304,203))="","",INDEX(Inventory!B:B,SMALL($H$5:$H$304,203))),"")</f>
        <v/>
      </c>
      <c r="C207" s="13" t="str">
        <f aca="false">IFERROR(IF(INDEX(Inventory!C:C,SMALL($H$5:$H$304,203))="","",INDEX(Inventory!C:C,SMALL($H$5:$H$304,203))),"")</f>
        <v/>
      </c>
      <c r="D207" s="13" t="str">
        <f aca="false">IFERROR(IF(INDEX(Inventory!D:D,SMALL($H$5:$H$304,203))="","",INDEX(Inventory!D:D,SMALL($H$5:$H$304,203))),"")</f>
        <v/>
      </c>
      <c r="E207" s="13" t="str">
        <f aca="false">IFERROR(IF(INDEX(Inventory!E:E,SMALL($H$5:$H$304,203))="","",INDEX(Inventory!E:E,SMALL($H$5:$H$304,203))),"")</f>
        <v/>
      </c>
      <c r="F207" s="13" t="str">
        <f aca="false">IFERROR(IF(INDEX(Inventory!F:F,SMALL($H$5:$H$304,203))="","",INDEX(Inventory!F:F,SMALL($H$5:$H$304,203))),"")</f>
        <v/>
      </c>
      <c r="G207" s="13" t="str">
        <f aca="false">IFERROR(IF(INDEX(Inventory!G:G,SMALL($H$5:$H$304,203))="","",INDEX(Inventory!G:G,SMALL($H$5:$H$304,203))),"")</f>
        <v/>
      </c>
      <c r="H207" s="1" t="str">
        <f aca="false">IF(Inventory!A205="","",IF(ISNUMBER(SEARCH($C$2,Inventory!A205)),ROW(Inventory!A205),""))</f>
        <v/>
      </c>
    </row>
    <row r="208" customFormat="false" ht="15" hidden="false" customHeight="false" outlineLevel="0" collapsed="false">
      <c r="A208" s="11" t="str">
        <f aca="false">IFERROR(IF(INDEX(Inventory!A:A,SMALL($H$5:$H$304,204))="","",INDEX(Inventory!A:A,SMALL($H$5:$H$304,204))),"")</f>
        <v/>
      </c>
      <c r="B208" s="11" t="str">
        <f aca="false">IFERROR(IF(INDEX(Inventory!B:B,SMALL($H$5:$H$304,204))="","",INDEX(Inventory!B:B,SMALL($H$5:$H$304,204))),"")</f>
        <v/>
      </c>
      <c r="C208" s="11" t="str">
        <f aca="false">IFERROR(IF(INDEX(Inventory!C:C,SMALL($H$5:$H$304,204))="","",INDEX(Inventory!C:C,SMALL($H$5:$H$304,204))),"")</f>
        <v/>
      </c>
      <c r="D208" s="11" t="str">
        <f aca="false">IFERROR(IF(INDEX(Inventory!D:D,SMALL($H$5:$H$304,204))="","",INDEX(Inventory!D:D,SMALL($H$5:$H$304,204))),"")</f>
        <v/>
      </c>
      <c r="E208" s="11" t="str">
        <f aca="false">IFERROR(IF(INDEX(Inventory!E:E,SMALL($H$5:$H$304,204))="","",INDEX(Inventory!E:E,SMALL($H$5:$H$304,204))),"")</f>
        <v/>
      </c>
      <c r="F208" s="11" t="str">
        <f aca="false">IFERROR(IF(INDEX(Inventory!F:F,SMALL($H$5:$H$304,204))="","",INDEX(Inventory!F:F,SMALL($H$5:$H$304,204))),"")</f>
        <v/>
      </c>
      <c r="G208" s="11" t="str">
        <f aca="false">IFERROR(IF(INDEX(Inventory!G:G,SMALL($H$5:$H$304,204))="","",INDEX(Inventory!G:G,SMALL($H$5:$H$304,204))),"")</f>
        <v/>
      </c>
      <c r="H208" s="1" t="str">
        <f aca="false">IF(Inventory!A206="","",IF(ISNUMBER(SEARCH($C$2,Inventory!A206)),ROW(Inventory!A206),""))</f>
        <v/>
      </c>
    </row>
    <row r="209" customFormat="false" ht="15" hidden="false" customHeight="false" outlineLevel="0" collapsed="false">
      <c r="A209" s="13" t="str">
        <f aca="false">IFERROR(IF(INDEX(Inventory!A:A,SMALL($H$5:$H$304,205))="","",INDEX(Inventory!A:A,SMALL($H$5:$H$304,205))),"")</f>
        <v/>
      </c>
      <c r="B209" s="13" t="str">
        <f aca="false">IFERROR(IF(INDEX(Inventory!B:B,SMALL($H$5:$H$304,205))="","",INDEX(Inventory!B:B,SMALL($H$5:$H$304,205))),"")</f>
        <v/>
      </c>
      <c r="C209" s="13" t="str">
        <f aca="false">IFERROR(IF(INDEX(Inventory!C:C,SMALL($H$5:$H$304,205))="","",INDEX(Inventory!C:C,SMALL($H$5:$H$304,205))),"")</f>
        <v/>
      </c>
      <c r="D209" s="13" t="str">
        <f aca="false">IFERROR(IF(INDEX(Inventory!D:D,SMALL($H$5:$H$304,205))="","",INDEX(Inventory!D:D,SMALL($H$5:$H$304,205))),"")</f>
        <v/>
      </c>
      <c r="E209" s="13" t="str">
        <f aca="false">IFERROR(IF(INDEX(Inventory!E:E,SMALL($H$5:$H$304,205))="","",INDEX(Inventory!E:E,SMALL($H$5:$H$304,205))),"")</f>
        <v/>
      </c>
      <c r="F209" s="13" t="str">
        <f aca="false">IFERROR(IF(INDEX(Inventory!F:F,SMALL($H$5:$H$304,205))="","",INDEX(Inventory!F:F,SMALL($H$5:$H$304,205))),"")</f>
        <v/>
      </c>
      <c r="G209" s="13" t="str">
        <f aca="false">IFERROR(IF(INDEX(Inventory!G:G,SMALL($H$5:$H$304,205))="","",INDEX(Inventory!G:G,SMALL($H$5:$H$304,205))),"")</f>
        <v/>
      </c>
      <c r="H209" s="1" t="str">
        <f aca="false">IF(Inventory!A207="","",IF(ISNUMBER(SEARCH($C$2,Inventory!A207)),ROW(Inventory!A207),""))</f>
        <v/>
      </c>
    </row>
    <row r="210" customFormat="false" ht="15" hidden="false" customHeight="false" outlineLevel="0" collapsed="false">
      <c r="A210" s="11" t="str">
        <f aca="false">IFERROR(IF(INDEX(Inventory!A:A,SMALL($H$5:$H$304,206))="","",INDEX(Inventory!A:A,SMALL($H$5:$H$304,206))),"")</f>
        <v/>
      </c>
      <c r="B210" s="11" t="str">
        <f aca="false">IFERROR(IF(INDEX(Inventory!B:B,SMALL($H$5:$H$304,206))="","",INDEX(Inventory!B:B,SMALL($H$5:$H$304,206))),"")</f>
        <v/>
      </c>
      <c r="C210" s="11" t="str">
        <f aca="false">IFERROR(IF(INDEX(Inventory!C:C,SMALL($H$5:$H$304,206))="","",INDEX(Inventory!C:C,SMALL($H$5:$H$304,206))),"")</f>
        <v/>
      </c>
      <c r="D210" s="11" t="str">
        <f aca="false">IFERROR(IF(INDEX(Inventory!D:D,SMALL($H$5:$H$304,206))="","",INDEX(Inventory!D:D,SMALL($H$5:$H$304,206))),"")</f>
        <v/>
      </c>
      <c r="E210" s="11" t="str">
        <f aca="false">IFERROR(IF(INDEX(Inventory!E:E,SMALL($H$5:$H$304,206))="","",INDEX(Inventory!E:E,SMALL($H$5:$H$304,206))),"")</f>
        <v/>
      </c>
      <c r="F210" s="11" t="str">
        <f aca="false">IFERROR(IF(INDEX(Inventory!F:F,SMALL($H$5:$H$304,206))="","",INDEX(Inventory!F:F,SMALL($H$5:$H$304,206))),"")</f>
        <v/>
      </c>
      <c r="G210" s="11" t="str">
        <f aca="false">IFERROR(IF(INDEX(Inventory!G:G,SMALL($H$5:$H$304,206))="","",INDEX(Inventory!G:G,SMALL($H$5:$H$304,206))),"")</f>
        <v/>
      </c>
      <c r="H210" s="1" t="str">
        <f aca="false">IF(Inventory!A208="","",IF(ISNUMBER(SEARCH($C$2,Inventory!A208)),ROW(Inventory!A208),""))</f>
        <v/>
      </c>
    </row>
    <row r="211" customFormat="false" ht="15" hidden="false" customHeight="false" outlineLevel="0" collapsed="false">
      <c r="A211" s="13" t="str">
        <f aca="false">IFERROR(IF(INDEX(Inventory!A:A,SMALL($H$5:$H$304,207))="","",INDEX(Inventory!A:A,SMALL($H$5:$H$304,207))),"")</f>
        <v/>
      </c>
      <c r="B211" s="13" t="str">
        <f aca="false">IFERROR(IF(INDEX(Inventory!B:B,SMALL($H$5:$H$304,207))="","",INDEX(Inventory!B:B,SMALL($H$5:$H$304,207))),"")</f>
        <v/>
      </c>
      <c r="C211" s="13" t="str">
        <f aca="false">IFERROR(IF(INDEX(Inventory!C:C,SMALL($H$5:$H$304,207))="","",INDEX(Inventory!C:C,SMALL($H$5:$H$304,207))),"")</f>
        <v/>
      </c>
      <c r="D211" s="13" t="str">
        <f aca="false">IFERROR(IF(INDEX(Inventory!D:D,SMALL($H$5:$H$304,207))="","",INDEX(Inventory!D:D,SMALL($H$5:$H$304,207))),"")</f>
        <v/>
      </c>
      <c r="E211" s="13" t="str">
        <f aca="false">IFERROR(IF(INDEX(Inventory!E:E,SMALL($H$5:$H$304,207))="","",INDEX(Inventory!E:E,SMALL($H$5:$H$304,207))),"")</f>
        <v/>
      </c>
      <c r="F211" s="13" t="str">
        <f aca="false">IFERROR(IF(INDEX(Inventory!F:F,SMALL($H$5:$H$304,207))="","",INDEX(Inventory!F:F,SMALL($H$5:$H$304,207))),"")</f>
        <v/>
      </c>
      <c r="G211" s="13" t="str">
        <f aca="false">IFERROR(IF(INDEX(Inventory!G:G,SMALL($H$5:$H$304,207))="","",INDEX(Inventory!G:G,SMALL($H$5:$H$304,207))),"")</f>
        <v/>
      </c>
      <c r="H211" s="1" t="str">
        <f aca="false">IF(Inventory!A209="","",IF(ISNUMBER(SEARCH($C$2,Inventory!A209)),ROW(Inventory!A209),""))</f>
        <v/>
      </c>
    </row>
    <row r="212" customFormat="false" ht="15" hidden="false" customHeight="false" outlineLevel="0" collapsed="false">
      <c r="A212" s="11" t="str">
        <f aca="false">IFERROR(IF(INDEX(Inventory!A:A,SMALL($H$5:$H$304,208))="","",INDEX(Inventory!A:A,SMALL($H$5:$H$304,208))),"")</f>
        <v/>
      </c>
      <c r="B212" s="11" t="str">
        <f aca="false">IFERROR(IF(INDEX(Inventory!B:B,SMALL($H$5:$H$304,208))="","",INDEX(Inventory!B:B,SMALL($H$5:$H$304,208))),"")</f>
        <v/>
      </c>
      <c r="C212" s="11" t="str">
        <f aca="false">IFERROR(IF(INDEX(Inventory!C:C,SMALL($H$5:$H$304,208))="","",INDEX(Inventory!C:C,SMALL($H$5:$H$304,208))),"")</f>
        <v/>
      </c>
      <c r="D212" s="11" t="str">
        <f aca="false">IFERROR(IF(INDEX(Inventory!D:D,SMALL($H$5:$H$304,208))="","",INDEX(Inventory!D:D,SMALL($H$5:$H$304,208))),"")</f>
        <v/>
      </c>
      <c r="E212" s="11" t="str">
        <f aca="false">IFERROR(IF(INDEX(Inventory!E:E,SMALL($H$5:$H$304,208))="","",INDEX(Inventory!E:E,SMALL($H$5:$H$304,208))),"")</f>
        <v/>
      </c>
      <c r="F212" s="11" t="str">
        <f aca="false">IFERROR(IF(INDEX(Inventory!F:F,SMALL($H$5:$H$304,208))="","",INDEX(Inventory!F:F,SMALL($H$5:$H$304,208))),"")</f>
        <v/>
      </c>
      <c r="G212" s="11" t="str">
        <f aca="false">IFERROR(IF(INDEX(Inventory!G:G,SMALL($H$5:$H$304,208))="","",INDEX(Inventory!G:G,SMALL($H$5:$H$304,208))),"")</f>
        <v/>
      </c>
      <c r="H212" s="1" t="str">
        <f aca="false">IF(Inventory!A210="","",IF(ISNUMBER(SEARCH($C$2,Inventory!A210)),ROW(Inventory!A210),""))</f>
        <v/>
      </c>
    </row>
    <row r="213" customFormat="false" ht="15" hidden="false" customHeight="false" outlineLevel="0" collapsed="false">
      <c r="A213" s="13" t="str">
        <f aca="false">IFERROR(IF(INDEX(Inventory!A:A,SMALL($H$5:$H$304,209))="","",INDEX(Inventory!A:A,SMALL($H$5:$H$304,209))),"")</f>
        <v/>
      </c>
      <c r="B213" s="13" t="str">
        <f aca="false">IFERROR(IF(INDEX(Inventory!B:B,SMALL($H$5:$H$304,209))="","",INDEX(Inventory!B:B,SMALL($H$5:$H$304,209))),"")</f>
        <v/>
      </c>
      <c r="C213" s="13" t="str">
        <f aca="false">IFERROR(IF(INDEX(Inventory!C:C,SMALL($H$5:$H$304,209))="","",INDEX(Inventory!C:C,SMALL($H$5:$H$304,209))),"")</f>
        <v/>
      </c>
      <c r="D213" s="13" t="str">
        <f aca="false">IFERROR(IF(INDEX(Inventory!D:D,SMALL($H$5:$H$304,209))="","",INDEX(Inventory!D:D,SMALL($H$5:$H$304,209))),"")</f>
        <v/>
      </c>
      <c r="E213" s="13" t="str">
        <f aca="false">IFERROR(IF(INDEX(Inventory!E:E,SMALL($H$5:$H$304,209))="","",INDEX(Inventory!E:E,SMALL($H$5:$H$304,209))),"")</f>
        <v/>
      </c>
      <c r="F213" s="13" t="str">
        <f aca="false">IFERROR(IF(INDEX(Inventory!F:F,SMALL($H$5:$H$304,209))="","",INDEX(Inventory!F:F,SMALL($H$5:$H$304,209))),"")</f>
        <v/>
      </c>
      <c r="G213" s="13" t="str">
        <f aca="false">IFERROR(IF(INDEX(Inventory!G:G,SMALL($H$5:$H$304,209))="","",INDEX(Inventory!G:G,SMALL($H$5:$H$304,209))),"")</f>
        <v/>
      </c>
      <c r="H213" s="1" t="str">
        <f aca="false">IF(Inventory!A211="","",IF(ISNUMBER(SEARCH($C$2,Inventory!A211)),ROW(Inventory!A211),""))</f>
        <v/>
      </c>
    </row>
    <row r="214" customFormat="false" ht="15" hidden="false" customHeight="false" outlineLevel="0" collapsed="false">
      <c r="A214" s="11" t="str">
        <f aca="false">IFERROR(IF(INDEX(Inventory!A:A,SMALL($H$5:$H$304,210))="","",INDEX(Inventory!A:A,SMALL($H$5:$H$304,210))),"")</f>
        <v/>
      </c>
      <c r="B214" s="11" t="str">
        <f aca="false">IFERROR(IF(INDEX(Inventory!B:B,SMALL($H$5:$H$304,210))="","",INDEX(Inventory!B:B,SMALL($H$5:$H$304,210))),"")</f>
        <v/>
      </c>
      <c r="C214" s="11" t="str">
        <f aca="false">IFERROR(IF(INDEX(Inventory!C:C,SMALL($H$5:$H$304,210))="","",INDEX(Inventory!C:C,SMALL($H$5:$H$304,210))),"")</f>
        <v/>
      </c>
      <c r="D214" s="11" t="str">
        <f aca="false">IFERROR(IF(INDEX(Inventory!D:D,SMALL($H$5:$H$304,210))="","",INDEX(Inventory!D:D,SMALL($H$5:$H$304,210))),"")</f>
        <v/>
      </c>
      <c r="E214" s="11" t="str">
        <f aca="false">IFERROR(IF(INDEX(Inventory!E:E,SMALL($H$5:$H$304,210))="","",INDEX(Inventory!E:E,SMALL($H$5:$H$304,210))),"")</f>
        <v/>
      </c>
      <c r="F214" s="11" t="str">
        <f aca="false">IFERROR(IF(INDEX(Inventory!F:F,SMALL($H$5:$H$304,210))="","",INDEX(Inventory!F:F,SMALL($H$5:$H$304,210))),"")</f>
        <v/>
      </c>
      <c r="G214" s="11" t="str">
        <f aca="false">IFERROR(IF(INDEX(Inventory!G:G,SMALL($H$5:$H$304,210))="","",INDEX(Inventory!G:G,SMALL($H$5:$H$304,210))),"")</f>
        <v/>
      </c>
      <c r="H214" s="1" t="str">
        <f aca="false">IF(Inventory!A212="","",IF(ISNUMBER(SEARCH($C$2,Inventory!A212)),ROW(Inventory!A212),""))</f>
        <v/>
      </c>
    </row>
    <row r="215" customFormat="false" ht="15" hidden="false" customHeight="false" outlineLevel="0" collapsed="false">
      <c r="A215" s="13" t="str">
        <f aca="false">IFERROR(IF(INDEX(Inventory!A:A,SMALL($H$5:$H$304,211))="","",INDEX(Inventory!A:A,SMALL($H$5:$H$304,211))),"")</f>
        <v/>
      </c>
      <c r="B215" s="13" t="str">
        <f aca="false">IFERROR(IF(INDEX(Inventory!B:B,SMALL($H$5:$H$304,211))="","",INDEX(Inventory!B:B,SMALL($H$5:$H$304,211))),"")</f>
        <v/>
      </c>
      <c r="C215" s="13" t="str">
        <f aca="false">IFERROR(IF(INDEX(Inventory!C:C,SMALL($H$5:$H$304,211))="","",INDEX(Inventory!C:C,SMALL($H$5:$H$304,211))),"")</f>
        <v/>
      </c>
      <c r="D215" s="13" t="str">
        <f aca="false">IFERROR(IF(INDEX(Inventory!D:D,SMALL($H$5:$H$304,211))="","",INDEX(Inventory!D:D,SMALL($H$5:$H$304,211))),"")</f>
        <v/>
      </c>
      <c r="E215" s="13" t="str">
        <f aca="false">IFERROR(IF(INDEX(Inventory!E:E,SMALL($H$5:$H$304,211))="","",INDEX(Inventory!E:E,SMALL($H$5:$H$304,211))),"")</f>
        <v/>
      </c>
      <c r="F215" s="13" t="str">
        <f aca="false">IFERROR(IF(INDEX(Inventory!F:F,SMALL($H$5:$H$304,211))="","",INDEX(Inventory!F:F,SMALL($H$5:$H$304,211))),"")</f>
        <v/>
      </c>
      <c r="G215" s="13" t="str">
        <f aca="false">IFERROR(IF(INDEX(Inventory!G:G,SMALL($H$5:$H$304,211))="","",INDEX(Inventory!G:G,SMALL($H$5:$H$304,211))),"")</f>
        <v/>
      </c>
      <c r="H215" s="1" t="str">
        <f aca="false">IF(Inventory!A213="","",IF(ISNUMBER(SEARCH($C$2,Inventory!A213)),ROW(Inventory!A213),""))</f>
        <v/>
      </c>
    </row>
    <row r="216" customFormat="false" ht="15" hidden="false" customHeight="false" outlineLevel="0" collapsed="false">
      <c r="A216" s="11" t="str">
        <f aca="false">IFERROR(IF(INDEX(Inventory!A:A,SMALL($H$5:$H$304,212))="","",INDEX(Inventory!A:A,SMALL($H$5:$H$304,212))),"")</f>
        <v/>
      </c>
      <c r="B216" s="11" t="str">
        <f aca="false">IFERROR(IF(INDEX(Inventory!B:B,SMALL($H$5:$H$304,212))="","",INDEX(Inventory!B:B,SMALL($H$5:$H$304,212))),"")</f>
        <v/>
      </c>
      <c r="C216" s="11" t="str">
        <f aca="false">IFERROR(IF(INDEX(Inventory!C:C,SMALL($H$5:$H$304,212))="","",INDEX(Inventory!C:C,SMALL($H$5:$H$304,212))),"")</f>
        <v/>
      </c>
      <c r="D216" s="11" t="str">
        <f aca="false">IFERROR(IF(INDEX(Inventory!D:D,SMALL($H$5:$H$304,212))="","",INDEX(Inventory!D:D,SMALL($H$5:$H$304,212))),"")</f>
        <v/>
      </c>
      <c r="E216" s="11" t="str">
        <f aca="false">IFERROR(IF(INDEX(Inventory!E:E,SMALL($H$5:$H$304,212))="","",INDEX(Inventory!E:E,SMALL($H$5:$H$304,212))),"")</f>
        <v/>
      </c>
      <c r="F216" s="11" t="str">
        <f aca="false">IFERROR(IF(INDEX(Inventory!F:F,SMALL($H$5:$H$304,212))="","",INDEX(Inventory!F:F,SMALL($H$5:$H$304,212))),"")</f>
        <v/>
      </c>
      <c r="G216" s="11" t="str">
        <f aca="false">IFERROR(IF(INDEX(Inventory!G:G,SMALL($H$5:$H$304,212))="","",INDEX(Inventory!G:G,SMALL($H$5:$H$304,212))),"")</f>
        <v/>
      </c>
      <c r="H216" s="1" t="str">
        <f aca="false">IF(Inventory!A214="","",IF(ISNUMBER(SEARCH($C$2,Inventory!A214)),ROW(Inventory!A214),""))</f>
        <v/>
      </c>
    </row>
    <row r="217" customFormat="false" ht="15" hidden="false" customHeight="false" outlineLevel="0" collapsed="false">
      <c r="A217" s="13" t="str">
        <f aca="false">IFERROR(IF(INDEX(Inventory!A:A,SMALL($H$5:$H$304,213))="","",INDEX(Inventory!A:A,SMALL($H$5:$H$304,213))),"")</f>
        <v/>
      </c>
      <c r="B217" s="13" t="str">
        <f aca="false">IFERROR(IF(INDEX(Inventory!B:B,SMALL($H$5:$H$304,213))="","",INDEX(Inventory!B:B,SMALL($H$5:$H$304,213))),"")</f>
        <v/>
      </c>
      <c r="C217" s="13" t="str">
        <f aca="false">IFERROR(IF(INDEX(Inventory!C:C,SMALL($H$5:$H$304,213))="","",INDEX(Inventory!C:C,SMALL($H$5:$H$304,213))),"")</f>
        <v/>
      </c>
      <c r="D217" s="13" t="str">
        <f aca="false">IFERROR(IF(INDEX(Inventory!D:D,SMALL($H$5:$H$304,213))="","",INDEX(Inventory!D:D,SMALL($H$5:$H$304,213))),"")</f>
        <v/>
      </c>
      <c r="E217" s="13" t="str">
        <f aca="false">IFERROR(IF(INDEX(Inventory!E:E,SMALL($H$5:$H$304,213))="","",INDEX(Inventory!E:E,SMALL($H$5:$H$304,213))),"")</f>
        <v/>
      </c>
      <c r="F217" s="13" t="str">
        <f aca="false">IFERROR(IF(INDEX(Inventory!F:F,SMALL($H$5:$H$304,213))="","",INDEX(Inventory!F:F,SMALL($H$5:$H$304,213))),"")</f>
        <v/>
      </c>
      <c r="G217" s="13" t="str">
        <f aca="false">IFERROR(IF(INDEX(Inventory!G:G,SMALL($H$5:$H$304,213))="","",INDEX(Inventory!G:G,SMALL($H$5:$H$304,213))),"")</f>
        <v/>
      </c>
      <c r="H217" s="1" t="str">
        <f aca="false">IF(Inventory!A215="","",IF(ISNUMBER(SEARCH($C$2,Inventory!A215)),ROW(Inventory!A215),""))</f>
        <v/>
      </c>
    </row>
    <row r="218" customFormat="false" ht="15" hidden="false" customHeight="false" outlineLevel="0" collapsed="false">
      <c r="A218" s="11" t="str">
        <f aca="false">IFERROR(IF(INDEX(Inventory!A:A,SMALL($H$5:$H$304,214))="","",INDEX(Inventory!A:A,SMALL($H$5:$H$304,214))),"")</f>
        <v/>
      </c>
      <c r="B218" s="11" t="str">
        <f aca="false">IFERROR(IF(INDEX(Inventory!B:B,SMALL($H$5:$H$304,214))="","",INDEX(Inventory!B:B,SMALL($H$5:$H$304,214))),"")</f>
        <v/>
      </c>
      <c r="C218" s="11" t="str">
        <f aca="false">IFERROR(IF(INDEX(Inventory!C:C,SMALL($H$5:$H$304,214))="","",INDEX(Inventory!C:C,SMALL($H$5:$H$304,214))),"")</f>
        <v/>
      </c>
      <c r="D218" s="11" t="str">
        <f aca="false">IFERROR(IF(INDEX(Inventory!D:D,SMALL($H$5:$H$304,214))="","",INDEX(Inventory!D:D,SMALL($H$5:$H$304,214))),"")</f>
        <v/>
      </c>
      <c r="E218" s="11" t="str">
        <f aca="false">IFERROR(IF(INDEX(Inventory!E:E,SMALL($H$5:$H$304,214))="","",INDEX(Inventory!E:E,SMALL($H$5:$H$304,214))),"")</f>
        <v/>
      </c>
      <c r="F218" s="11" t="str">
        <f aca="false">IFERROR(IF(INDEX(Inventory!F:F,SMALL($H$5:$H$304,214))="","",INDEX(Inventory!F:F,SMALL($H$5:$H$304,214))),"")</f>
        <v/>
      </c>
      <c r="G218" s="11" t="str">
        <f aca="false">IFERROR(IF(INDEX(Inventory!G:G,SMALL($H$5:$H$304,214))="","",INDEX(Inventory!G:G,SMALL($H$5:$H$304,214))),"")</f>
        <v/>
      </c>
      <c r="H218" s="1" t="str">
        <f aca="false">IF(Inventory!A216="","",IF(ISNUMBER(SEARCH($C$2,Inventory!A216)),ROW(Inventory!A216),""))</f>
        <v/>
      </c>
    </row>
    <row r="219" customFormat="false" ht="15" hidden="false" customHeight="false" outlineLevel="0" collapsed="false">
      <c r="A219" s="13" t="str">
        <f aca="false">IFERROR(IF(INDEX(Inventory!A:A,SMALL($H$5:$H$304,215))="","",INDEX(Inventory!A:A,SMALL($H$5:$H$304,215))),"")</f>
        <v/>
      </c>
      <c r="B219" s="13" t="str">
        <f aca="false">IFERROR(IF(INDEX(Inventory!B:B,SMALL($H$5:$H$304,215))="","",INDEX(Inventory!B:B,SMALL($H$5:$H$304,215))),"")</f>
        <v/>
      </c>
      <c r="C219" s="13" t="str">
        <f aca="false">IFERROR(IF(INDEX(Inventory!C:C,SMALL($H$5:$H$304,215))="","",INDEX(Inventory!C:C,SMALL($H$5:$H$304,215))),"")</f>
        <v/>
      </c>
      <c r="D219" s="13" t="str">
        <f aca="false">IFERROR(IF(INDEX(Inventory!D:D,SMALL($H$5:$H$304,215))="","",INDEX(Inventory!D:D,SMALL($H$5:$H$304,215))),"")</f>
        <v/>
      </c>
      <c r="E219" s="13" t="str">
        <f aca="false">IFERROR(IF(INDEX(Inventory!E:E,SMALL($H$5:$H$304,215))="","",INDEX(Inventory!E:E,SMALL($H$5:$H$304,215))),"")</f>
        <v/>
      </c>
      <c r="F219" s="13" t="str">
        <f aca="false">IFERROR(IF(INDEX(Inventory!F:F,SMALL($H$5:$H$304,215))="","",INDEX(Inventory!F:F,SMALL($H$5:$H$304,215))),"")</f>
        <v/>
      </c>
      <c r="G219" s="13" t="str">
        <f aca="false">IFERROR(IF(INDEX(Inventory!G:G,SMALL($H$5:$H$304,215))="","",INDEX(Inventory!G:G,SMALL($H$5:$H$304,215))),"")</f>
        <v/>
      </c>
      <c r="H219" s="1" t="str">
        <f aca="false">IF(Inventory!A217="","",IF(ISNUMBER(SEARCH($C$2,Inventory!A217)),ROW(Inventory!A217),""))</f>
        <v/>
      </c>
    </row>
    <row r="220" customFormat="false" ht="15" hidden="false" customHeight="false" outlineLevel="0" collapsed="false">
      <c r="A220" s="11" t="str">
        <f aca="false">IFERROR(IF(INDEX(Inventory!A:A,SMALL($H$5:$H$304,216))="","",INDEX(Inventory!A:A,SMALL($H$5:$H$304,216))),"")</f>
        <v/>
      </c>
      <c r="B220" s="11" t="str">
        <f aca="false">IFERROR(IF(INDEX(Inventory!B:B,SMALL($H$5:$H$304,216))="","",INDEX(Inventory!B:B,SMALL($H$5:$H$304,216))),"")</f>
        <v/>
      </c>
      <c r="C220" s="11" t="str">
        <f aca="false">IFERROR(IF(INDEX(Inventory!C:C,SMALL($H$5:$H$304,216))="","",INDEX(Inventory!C:C,SMALL($H$5:$H$304,216))),"")</f>
        <v/>
      </c>
      <c r="D220" s="11" t="str">
        <f aca="false">IFERROR(IF(INDEX(Inventory!D:D,SMALL($H$5:$H$304,216))="","",INDEX(Inventory!D:D,SMALL($H$5:$H$304,216))),"")</f>
        <v/>
      </c>
      <c r="E220" s="11" t="str">
        <f aca="false">IFERROR(IF(INDEX(Inventory!E:E,SMALL($H$5:$H$304,216))="","",INDEX(Inventory!E:E,SMALL($H$5:$H$304,216))),"")</f>
        <v/>
      </c>
      <c r="F220" s="11" t="str">
        <f aca="false">IFERROR(IF(INDEX(Inventory!F:F,SMALL($H$5:$H$304,216))="","",INDEX(Inventory!F:F,SMALL($H$5:$H$304,216))),"")</f>
        <v/>
      </c>
      <c r="G220" s="11" t="str">
        <f aca="false">IFERROR(IF(INDEX(Inventory!G:G,SMALL($H$5:$H$304,216))="","",INDEX(Inventory!G:G,SMALL($H$5:$H$304,216))),"")</f>
        <v/>
      </c>
      <c r="H220" s="1" t="str">
        <f aca="false">IF(Inventory!A218="","",IF(ISNUMBER(SEARCH($C$2,Inventory!A218)),ROW(Inventory!A218),""))</f>
        <v/>
      </c>
    </row>
    <row r="221" customFormat="false" ht="15" hidden="false" customHeight="false" outlineLevel="0" collapsed="false">
      <c r="A221" s="13" t="str">
        <f aca="false">IFERROR(IF(INDEX(Inventory!A:A,SMALL($H$5:$H$304,217))="","",INDEX(Inventory!A:A,SMALL($H$5:$H$304,217))),"")</f>
        <v/>
      </c>
      <c r="B221" s="13" t="str">
        <f aca="false">IFERROR(IF(INDEX(Inventory!B:B,SMALL($H$5:$H$304,217))="","",INDEX(Inventory!B:B,SMALL($H$5:$H$304,217))),"")</f>
        <v/>
      </c>
      <c r="C221" s="13" t="str">
        <f aca="false">IFERROR(IF(INDEX(Inventory!C:C,SMALL($H$5:$H$304,217))="","",INDEX(Inventory!C:C,SMALL($H$5:$H$304,217))),"")</f>
        <v/>
      </c>
      <c r="D221" s="13" t="str">
        <f aca="false">IFERROR(IF(INDEX(Inventory!D:D,SMALL($H$5:$H$304,217))="","",INDEX(Inventory!D:D,SMALL($H$5:$H$304,217))),"")</f>
        <v/>
      </c>
      <c r="E221" s="13" t="str">
        <f aca="false">IFERROR(IF(INDEX(Inventory!E:E,SMALL($H$5:$H$304,217))="","",INDEX(Inventory!E:E,SMALL($H$5:$H$304,217))),"")</f>
        <v/>
      </c>
      <c r="F221" s="13" t="str">
        <f aca="false">IFERROR(IF(INDEX(Inventory!F:F,SMALL($H$5:$H$304,217))="","",INDEX(Inventory!F:F,SMALL($H$5:$H$304,217))),"")</f>
        <v/>
      </c>
      <c r="G221" s="13" t="str">
        <f aca="false">IFERROR(IF(INDEX(Inventory!G:G,SMALL($H$5:$H$304,217))="","",INDEX(Inventory!G:G,SMALL($H$5:$H$304,217))),"")</f>
        <v/>
      </c>
      <c r="H221" s="1" t="str">
        <f aca="false">IF(Inventory!A219="","",IF(ISNUMBER(SEARCH($C$2,Inventory!A219)),ROW(Inventory!A219),""))</f>
        <v/>
      </c>
    </row>
    <row r="222" customFormat="false" ht="15" hidden="false" customHeight="false" outlineLevel="0" collapsed="false">
      <c r="A222" s="11" t="str">
        <f aca="false">IFERROR(IF(INDEX(Inventory!A:A,SMALL($H$5:$H$304,218))="","",INDEX(Inventory!A:A,SMALL($H$5:$H$304,218))),"")</f>
        <v/>
      </c>
      <c r="B222" s="11" t="str">
        <f aca="false">IFERROR(IF(INDEX(Inventory!B:B,SMALL($H$5:$H$304,218))="","",INDEX(Inventory!B:B,SMALL($H$5:$H$304,218))),"")</f>
        <v/>
      </c>
      <c r="C222" s="11" t="str">
        <f aca="false">IFERROR(IF(INDEX(Inventory!C:C,SMALL($H$5:$H$304,218))="","",INDEX(Inventory!C:C,SMALL($H$5:$H$304,218))),"")</f>
        <v/>
      </c>
      <c r="D222" s="11" t="str">
        <f aca="false">IFERROR(IF(INDEX(Inventory!D:D,SMALL($H$5:$H$304,218))="","",INDEX(Inventory!D:D,SMALL($H$5:$H$304,218))),"")</f>
        <v/>
      </c>
      <c r="E222" s="11" t="str">
        <f aca="false">IFERROR(IF(INDEX(Inventory!E:E,SMALL($H$5:$H$304,218))="","",INDEX(Inventory!E:E,SMALL($H$5:$H$304,218))),"")</f>
        <v/>
      </c>
      <c r="F222" s="11" t="str">
        <f aca="false">IFERROR(IF(INDEX(Inventory!F:F,SMALL($H$5:$H$304,218))="","",INDEX(Inventory!F:F,SMALL($H$5:$H$304,218))),"")</f>
        <v/>
      </c>
      <c r="G222" s="11" t="str">
        <f aca="false">IFERROR(IF(INDEX(Inventory!G:G,SMALL($H$5:$H$304,218))="","",INDEX(Inventory!G:G,SMALL($H$5:$H$304,218))),"")</f>
        <v/>
      </c>
      <c r="H222" s="1" t="str">
        <f aca="false">IF(Inventory!A220="","",IF(ISNUMBER(SEARCH($C$2,Inventory!A220)),ROW(Inventory!A220),""))</f>
        <v/>
      </c>
    </row>
    <row r="223" customFormat="false" ht="15" hidden="false" customHeight="false" outlineLevel="0" collapsed="false">
      <c r="A223" s="13" t="str">
        <f aca="false">IFERROR(IF(INDEX(Inventory!A:A,SMALL($H$5:$H$304,219))="","",INDEX(Inventory!A:A,SMALL($H$5:$H$304,219))),"")</f>
        <v/>
      </c>
      <c r="B223" s="13" t="str">
        <f aca="false">IFERROR(IF(INDEX(Inventory!B:B,SMALL($H$5:$H$304,219))="","",INDEX(Inventory!B:B,SMALL($H$5:$H$304,219))),"")</f>
        <v/>
      </c>
      <c r="C223" s="13" t="str">
        <f aca="false">IFERROR(IF(INDEX(Inventory!C:C,SMALL($H$5:$H$304,219))="","",INDEX(Inventory!C:C,SMALL($H$5:$H$304,219))),"")</f>
        <v/>
      </c>
      <c r="D223" s="13" t="str">
        <f aca="false">IFERROR(IF(INDEX(Inventory!D:D,SMALL($H$5:$H$304,219))="","",INDEX(Inventory!D:D,SMALL($H$5:$H$304,219))),"")</f>
        <v/>
      </c>
      <c r="E223" s="13" t="str">
        <f aca="false">IFERROR(IF(INDEX(Inventory!E:E,SMALL($H$5:$H$304,219))="","",INDEX(Inventory!E:E,SMALL($H$5:$H$304,219))),"")</f>
        <v/>
      </c>
      <c r="F223" s="13" t="str">
        <f aca="false">IFERROR(IF(INDEX(Inventory!F:F,SMALL($H$5:$H$304,219))="","",INDEX(Inventory!F:F,SMALL($H$5:$H$304,219))),"")</f>
        <v/>
      </c>
      <c r="G223" s="13" t="str">
        <f aca="false">IFERROR(IF(INDEX(Inventory!G:G,SMALL($H$5:$H$304,219))="","",INDEX(Inventory!G:G,SMALL($H$5:$H$304,219))),"")</f>
        <v/>
      </c>
      <c r="H223" s="1" t="str">
        <f aca="false">IF(Inventory!A221="","",IF(ISNUMBER(SEARCH($C$2,Inventory!A221)),ROW(Inventory!A221),""))</f>
        <v/>
      </c>
    </row>
    <row r="224" customFormat="false" ht="15" hidden="false" customHeight="false" outlineLevel="0" collapsed="false">
      <c r="A224" s="11" t="str">
        <f aca="false">IFERROR(IF(INDEX(Inventory!A:A,SMALL($H$5:$H$304,220))="","",INDEX(Inventory!A:A,SMALL($H$5:$H$304,220))),"")</f>
        <v/>
      </c>
      <c r="B224" s="11" t="str">
        <f aca="false">IFERROR(IF(INDEX(Inventory!B:B,SMALL($H$5:$H$304,220))="","",INDEX(Inventory!B:B,SMALL($H$5:$H$304,220))),"")</f>
        <v/>
      </c>
      <c r="C224" s="11" t="str">
        <f aca="false">IFERROR(IF(INDEX(Inventory!C:C,SMALL($H$5:$H$304,220))="","",INDEX(Inventory!C:C,SMALL($H$5:$H$304,220))),"")</f>
        <v/>
      </c>
      <c r="D224" s="11" t="str">
        <f aca="false">IFERROR(IF(INDEX(Inventory!D:D,SMALL($H$5:$H$304,220))="","",INDEX(Inventory!D:D,SMALL($H$5:$H$304,220))),"")</f>
        <v/>
      </c>
      <c r="E224" s="11" t="str">
        <f aca="false">IFERROR(IF(INDEX(Inventory!E:E,SMALL($H$5:$H$304,220))="","",INDEX(Inventory!E:E,SMALL($H$5:$H$304,220))),"")</f>
        <v/>
      </c>
      <c r="F224" s="11" t="str">
        <f aca="false">IFERROR(IF(INDEX(Inventory!F:F,SMALL($H$5:$H$304,220))="","",INDEX(Inventory!F:F,SMALL($H$5:$H$304,220))),"")</f>
        <v/>
      </c>
      <c r="G224" s="11" t="str">
        <f aca="false">IFERROR(IF(INDEX(Inventory!G:G,SMALL($H$5:$H$304,220))="","",INDEX(Inventory!G:G,SMALL($H$5:$H$304,220))),"")</f>
        <v/>
      </c>
      <c r="H224" s="1" t="str">
        <f aca="false">IF(Inventory!A222="","",IF(ISNUMBER(SEARCH($C$2,Inventory!A222)),ROW(Inventory!A222),""))</f>
        <v/>
      </c>
    </row>
    <row r="225" customFormat="false" ht="15" hidden="false" customHeight="false" outlineLevel="0" collapsed="false">
      <c r="A225" s="13" t="str">
        <f aca="false">IFERROR(IF(INDEX(Inventory!A:A,SMALL($H$5:$H$304,221))="","",INDEX(Inventory!A:A,SMALL($H$5:$H$304,221))),"")</f>
        <v/>
      </c>
      <c r="B225" s="13" t="str">
        <f aca="false">IFERROR(IF(INDEX(Inventory!B:B,SMALL($H$5:$H$304,221))="","",INDEX(Inventory!B:B,SMALL($H$5:$H$304,221))),"")</f>
        <v/>
      </c>
      <c r="C225" s="13" t="str">
        <f aca="false">IFERROR(IF(INDEX(Inventory!C:C,SMALL($H$5:$H$304,221))="","",INDEX(Inventory!C:C,SMALL($H$5:$H$304,221))),"")</f>
        <v/>
      </c>
      <c r="D225" s="13" t="str">
        <f aca="false">IFERROR(IF(INDEX(Inventory!D:D,SMALL($H$5:$H$304,221))="","",INDEX(Inventory!D:D,SMALL($H$5:$H$304,221))),"")</f>
        <v/>
      </c>
      <c r="E225" s="13" t="str">
        <f aca="false">IFERROR(IF(INDEX(Inventory!E:E,SMALL($H$5:$H$304,221))="","",INDEX(Inventory!E:E,SMALL($H$5:$H$304,221))),"")</f>
        <v/>
      </c>
      <c r="F225" s="13" t="str">
        <f aca="false">IFERROR(IF(INDEX(Inventory!F:F,SMALL($H$5:$H$304,221))="","",INDEX(Inventory!F:F,SMALL($H$5:$H$304,221))),"")</f>
        <v/>
      </c>
      <c r="G225" s="13" t="str">
        <f aca="false">IFERROR(IF(INDEX(Inventory!G:G,SMALL($H$5:$H$304,221))="","",INDEX(Inventory!G:G,SMALL($H$5:$H$304,221))),"")</f>
        <v/>
      </c>
      <c r="H225" s="1" t="str">
        <f aca="false">IF(Inventory!A223="","",IF(ISNUMBER(SEARCH($C$2,Inventory!A223)),ROW(Inventory!A223),""))</f>
        <v/>
      </c>
    </row>
    <row r="226" customFormat="false" ht="15" hidden="false" customHeight="false" outlineLevel="0" collapsed="false">
      <c r="A226" s="11" t="str">
        <f aca="false">IFERROR(IF(INDEX(Inventory!A:A,SMALL($H$5:$H$304,222))="","",INDEX(Inventory!A:A,SMALL($H$5:$H$304,222))),"")</f>
        <v/>
      </c>
      <c r="B226" s="11" t="str">
        <f aca="false">IFERROR(IF(INDEX(Inventory!B:B,SMALL($H$5:$H$304,222))="","",INDEX(Inventory!B:B,SMALL($H$5:$H$304,222))),"")</f>
        <v/>
      </c>
      <c r="C226" s="11" t="str">
        <f aca="false">IFERROR(IF(INDEX(Inventory!C:C,SMALL($H$5:$H$304,222))="","",INDEX(Inventory!C:C,SMALL($H$5:$H$304,222))),"")</f>
        <v/>
      </c>
      <c r="D226" s="11" t="str">
        <f aca="false">IFERROR(IF(INDEX(Inventory!D:D,SMALL($H$5:$H$304,222))="","",INDEX(Inventory!D:D,SMALL($H$5:$H$304,222))),"")</f>
        <v/>
      </c>
      <c r="E226" s="11" t="str">
        <f aca="false">IFERROR(IF(INDEX(Inventory!E:E,SMALL($H$5:$H$304,222))="","",INDEX(Inventory!E:E,SMALL($H$5:$H$304,222))),"")</f>
        <v/>
      </c>
      <c r="F226" s="11" t="str">
        <f aca="false">IFERROR(IF(INDEX(Inventory!F:F,SMALL($H$5:$H$304,222))="","",INDEX(Inventory!F:F,SMALL($H$5:$H$304,222))),"")</f>
        <v/>
      </c>
      <c r="G226" s="11" t="str">
        <f aca="false">IFERROR(IF(INDEX(Inventory!G:G,SMALL($H$5:$H$304,222))="","",INDEX(Inventory!G:G,SMALL($H$5:$H$304,222))),"")</f>
        <v/>
      </c>
      <c r="H226" s="1" t="str">
        <f aca="false">IF(Inventory!A224="","",IF(ISNUMBER(SEARCH($C$2,Inventory!A224)),ROW(Inventory!A224),""))</f>
        <v/>
      </c>
    </row>
    <row r="227" customFormat="false" ht="15" hidden="false" customHeight="false" outlineLevel="0" collapsed="false">
      <c r="A227" s="13" t="str">
        <f aca="false">IFERROR(IF(INDEX(Inventory!A:A,SMALL($H$5:$H$304,223))="","",INDEX(Inventory!A:A,SMALL($H$5:$H$304,223))),"")</f>
        <v/>
      </c>
      <c r="B227" s="13" t="str">
        <f aca="false">IFERROR(IF(INDEX(Inventory!B:B,SMALL($H$5:$H$304,223))="","",INDEX(Inventory!B:B,SMALL($H$5:$H$304,223))),"")</f>
        <v/>
      </c>
      <c r="C227" s="13" t="str">
        <f aca="false">IFERROR(IF(INDEX(Inventory!C:C,SMALL($H$5:$H$304,223))="","",INDEX(Inventory!C:C,SMALL($H$5:$H$304,223))),"")</f>
        <v/>
      </c>
      <c r="D227" s="13" t="str">
        <f aca="false">IFERROR(IF(INDEX(Inventory!D:D,SMALL($H$5:$H$304,223))="","",INDEX(Inventory!D:D,SMALL($H$5:$H$304,223))),"")</f>
        <v/>
      </c>
      <c r="E227" s="13" t="str">
        <f aca="false">IFERROR(IF(INDEX(Inventory!E:E,SMALL($H$5:$H$304,223))="","",INDEX(Inventory!E:E,SMALL($H$5:$H$304,223))),"")</f>
        <v/>
      </c>
      <c r="F227" s="13" t="str">
        <f aca="false">IFERROR(IF(INDEX(Inventory!F:F,SMALL($H$5:$H$304,223))="","",INDEX(Inventory!F:F,SMALL($H$5:$H$304,223))),"")</f>
        <v/>
      </c>
      <c r="G227" s="13" t="str">
        <f aca="false">IFERROR(IF(INDEX(Inventory!G:G,SMALL($H$5:$H$304,223))="","",INDEX(Inventory!G:G,SMALL($H$5:$H$304,223))),"")</f>
        <v/>
      </c>
      <c r="H227" s="1" t="str">
        <f aca="false">IF(Inventory!A225="","",IF(ISNUMBER(SEARCH($C$2,Inventory!A225)),ROW(Inventory!A225),""))</f>
        <v/>
      </c>
    </row>
    <row r="228" customFormat="false" ht="15" hidden="false" customHeight="false" outlineLevel="0" collapsed="false">
      <c r="A228" s="11" t="str">
        <f aca="false">IFERROR(IF(INDEX(Inventory!A:A,SMALL($H$5:$H$304,224))="","",INDEX(Inventory!A:A,SMALL($H$5:$H$304,224))),"")</f>
        <v/>
      </c>
      <c r="B228" s="11" t="str">
        <f aca="false">IFERROR(IF(INDEX(Inventory!B:B,SMALL($H$5:$H$304,224))="","",INDEX(Inventory!B:B,SMALL($H$5:$H$304,224))),"")</f>
        <v/>
      </c>
      <c r="C228" s="11" t="str">
        <f aca="false">IFERROR(IF(INDEX(Inventory!C:C,SMALL($H$5:$H$304,224))="","",INDEX(Inventory!C:C,SMALL($H$5:$H$304,224))),"")</f>
        <v/>
      </c>
      <c r="D228" s="11" t="str">
        <f aca="false">IFERROR(IF(INDEX(Inventory!D:D,SMALL($H$5:$H$304,224))="","",INDEX(Inventory!D:D,SMALL($H$5:$H$304,224))),"")</f>
        <v/>
      </c>
      <c r="E228" s="11" t="str">
        <f aca="false">IFERROR(IF(INDEX(Inventory!E:E,SMALL($H$5:$H$304,224))="","",INDEX(Inventory!E:E,SMALL($H$5:$H$304,224))),"")</f>
        <v/>
      </c>
      <c r="F228" s="11" t="str">
        <f aca="false">IFERROR(IF(INDEX(Inventory!F:F,SMALL($H$5:$H$304,224))="","",INDEX(Inventory!F:F,SMALL($H$5:$H$304,224))),"")</f>
        <v/>
      </c>
      <c r="G228" s="11" t="str">
        <f aca="false">IFERROR(IF(INDEX(Inventory!G:G,SMALL($H$5:$H$304,224))="","",INDEX(Inventory!G:G,SMALL($H$5:$H$304,224))),"")</f>
        <v/>
      </c>
      <c r="H228" s="1" t="str">
        <f aca="false">IF(Inventory!A226="","",IF(ISNUMBER(SEARCH($C$2,Inventory!A226)),ROW(Inventory!A226),""))</f>
        <v/>
      </c>
    </row>
    <row r="229" customFormat="false" ht="15" hidden="false" customHeight="false" outlineLevel="0" collapsed="false">
      <c r="A229" s="13" t="str">
        <f aca="false">IFERROR(IF(INDEX(Inventory!A:A,SMALL($H$5:$H$304,225))="","",INDEX(Inventory!A:A,SMALL($H$5:$H$304,225))),"")</f>
        <v/>
      </c>
      <c r="B229" s="13" t="str">
        <f aca="false">IFERROR(IF(INDEX(Inventory!B:B,SMALL($H$5:$H$304,225))="","",INDEX(Inventory!B:B,SMALL($H$5:$H$304,225))),"")</f>
        <v/>
      </c>
      <c r="C229" s="13" t="str">
        <f aca="false">IFERROR(IF(INDEX(Inventory!C:C,SMALL($H$5:$H$304,225))="","",INDEX(Inventory!C:C,SMALL($H$5:$H$304,225))),"")</f>
        <v/>
      </c>
      <c r="D229" s="13" t="str">
        <f aca="false">IFERROR(IF(INDEX(Inventory!D:D,SMALL($H$5:$H$304,225))="","",INDEX(Inventory!D:D,SMALL($H$5:$H$304,225))),"")</f>
        <v/>
      </c>
      <c r="E229" s="13" t="str">
        <f aca="false">IFERROR(IF(INDEX(Inventory!E:E,SMALL($H$5:$H$304,225))="","",INDEX(Inventory!E:E,SMALL($H$5:$H$304,225))),"")</f>
        <v/>
      </c>
      <c r="F229" s="13" t="str">
        <f aca="false">IFERROR(IF(INDEX(Inventory!F:F,SMALL($H$5:$H$304,225))="","",INDEX(Inventory!F:F,SMALL($H$5:$H$304,225))),"")</f>
        <v/>
      </c>
      <c r="G229" s="13" t="str">
        <f aca="false">IFERROR(IF(INDEX(Inventory!G:G,SMALL($H$5:$H$304,225))="","",INDEX(Inventory!G:G,SMALL($H$5:$H$304,225))),"")</f>
        <v/>
      </c>
      <c r="H229" s="1" t="str">
        <f aca="false">IF(Inventory!A227="","",IF(ISNUMBER(SEARCH($C$2,Inventory!A227)),ROW(Inventory!A227),""))</f>
        <v/>
      </c>
    </row>
    <row r="230" customFormat="false" ht="15" hidden="false" customHeight="false" outlineLevel="0" collapsed="false">
      <c r="A230" s="11" t="str">
        <f aca="false">IFERROR(IF(INDEX(Inventory!A:A,SMALL($H$5:$H$304,226))="","",INDEX(Inventory!A:A,SMALL($H$5:$H$304,226))),"")</f>
        <v/>
      </c>
      <c r="B230" s="11" t="str">
        <f aca="false">IFERROR(IF(INDEX(Inventory!B:B,SMALL($H$5:$H$304,226))="","",INDEX(Inventory!B:B,SMALL($H$5:$H$304,226))),"")</f>
        <v/>
      </c>
      <c r="C230" s="11" t="str">
        <f aca="false">IFERROR(IF(INDEX(Inventory!C:C,SMALL($H$5:$H$304,226))="","",INDEX(Inventory!C:C,SMALL($H$5:$H$304,226))),"")</f>
        <v/>
      </c>
      <c r="D230" s="11" t="str">
        <f aca="false">IFERROR(IF(INDEX(Inventory!D:D,SMALL($H$5:$H$304,226))="","",INDEX(Inventory!D:D,SMALL($H$5:$H$304,226))),"")</f>
        <v/>
      </c>
      <c r="E230" s="11" t="str">
        <f aca="false">IFERROR(IF(INDEX(Inventory!E:E,SMALL($H$5:$H$304,226))="","",INDEX(Inventory!E:E,SMALL($H$5:$H$304,226))),"")</f>
        <v/>
      </c>
      <c r="F230" s="11" t="str">
        <f aca="false">IFERROR(IF(INDEX(Inventory!F:F,SMALL($H$5:$H$304,226))="","",INDEX(Inventory!F:F,SMALL($H$5:$H$304,226))),"")</f>
        <v/>
      </c>
      <c r="G230" s="11" t="str">
        <f aca="false">IFERROR(IF(INDEX(Inventory!G:G,SMALL($H$5:$H$304,226))="","",INDEX(Inventory!G:G,SMALL($H$5:$H$304,226))),"")</f>
        <v/>
      </c>
      <c r="H230" s="1" t="str">
        <f aca="false">IF(Inventory!A228="","",IF(ISNUMBER(SEARCH($C$2,Inventory!A228)),ROW(Inventory!A228),""))</f>
        <v/>
      </c>
    </row>
    <row r="231" customFormat="false" ht="15" hidden="false" customHeight="false" outlineLevel="0" collapsed="false">
      <c r="A231" s="13" t="str">
        <f aca="false">IFERROR(IF(INDEX(Inventory!A:A,SMALL($H$5:$H$304,227))="","",INDEX(Inventory!A:A,SMALL($H$5:$H$304,227))),"")</f>
        <v/>
      </c>
      <c r="B231" s="13" t="str">
        <f aca="false">IFERROR(IF(INDEX(Inventory!B:B,SMALL($H$5:$H$304,227))="","",INDEX(Inventory!B:B,SMALL($H$5:$H$304,227))),"")</f>
        <v/>
      </c>
      <c r="C231" s="13" t="str">
        <f aca="false">IFERROR(IF(INDEX(Inventory!C:C,SMALL($H$5:$H$304,227))="","",INDEX(Inventory!C:C,SMALL($H$5:$H$304,227))),"")</f>
        <v/>
      </c>
      <c r="D231" s="13" t="str">
        <f aca="false">IFERROR(IF(INDEX(Inventory!D:D,SMALL($H$5:$H$304,227))="","",INDEX(Inventory!D:D,SMALL($H$5:$H$304,227))),"")</f>
        <v/>
      </c>
      <c r="E231" s="13" t="str">
        <f aca="false">IFERROR(IF(INDEX(Inventory!E:E,SMALL($H$5:$H$304,227))="","",INDEX(Inventory!E:E,SMALL($H$5:$H$304,227))),"")</f>
        <v/>
      </c>
      <c r="F231" s="13" t="str">
        <f aca="false">IFERROR(IF(INDEX(Inventory!F:F,SMALL($H$5:$H$304,227))="","",INDEX(Inventory!F:F,SMALL($H$5:$H$304,227))),"")</f>
        <v/>
      </c>
      <c r="G231" s="13" t="str">
        <f aca="false">IFERROR(IF(INDEX(Inventory!G:G,SMALL($H$5:$H$304,227))="","",INDEX(Inventory!G:G,SMALL($H$5:$H$304,227))),"")</f>
        <v/>
      </c>
      <c r="H231" s="1" t="str">
        <f aca="false">IF(Inventory!A229="","",IF(ISNUMBER(SEARCH($C$2,Inventory!A229)),ROW(Inventory!A229),""))</f>
        <v/>
      </c>
    </row>
    <row r="232" customFormat="false" ht="15" hidden="false" customHeight="false" outlineLevel="0" collapsed="false">
      <c r="A232" s="11" t="str">
        <f aca="false">IFERROR(IF(INDEX(Inventory!A:A,SMALL($H$5:$H$304,228))="","",INDEX(Inventory!A:A,SMALL($H$5:$H$304,228))),"")</f>
        <v/>
      </c>
      <c r="B232" s="11" t="str">
        <f aca="false">IFERROR(IF(INDEX(Inventory!B:B,SMALL($H$5:$H$304,228))="","",INDEX(Inventory!B:B,SMALL($H$5:$H$304,228))),"")</f>
        <v/>
      </c>
      <c r="C232" s="11" t="str">
        <f aca="false">IFERROR(IF(INDEX(Inventory!C:C,SMALL($H$5:$H$304,228))="","",INDEX(Inventory!C:C,SMALL($H$5:$H$304,228))),"")</f>
        <v/>
      </c>
      <c r="D232" s="11" t="str">
        <f aca="false">IFERROR(IF(INDEX(Inventory!D:D,SMALL($H$5:$H$304,228))="","",INDEX(Inventory!D:D,SMALL($H$5:$H$304,228))),"")</f>
        <v/>
      </c>
      <c r="E232" s="11" t="str">
        <f aca="false">IFERROR(IF(INDEX(Inventory!E:E,SMALL($H$5:$H$304,228))="","",INDEX(Inventory!E:E,SMALL($H$5:$H$304,228))),"")</f>
        <v/>
      </c>
      <c r="F232" s="11" t="str">
        <f aca="false">IFERROR(IF(INDEX(Inventory!F:F,SMALL($H$5:$H$304,228))="","",INDEX(Inventory!F:F,SMALL($H$5:$H$304,228))),"")</f>
        <v/>
      </c>
      <c r="G232" s="11" t="str">
        <f aca="false">IFERROR(IF(INDEX(Inventory!G:G,SMALL($H$5:$H$304,228))="","",INDEX(Inventory!G:G,SMALL($H$5:$H$304,228))),"")</f>
        <v/>
      </c>
      <c r="H232" s="1" t="str">
        <f aca="false">IF(Inventory!A230="","",IF(ISNUMBER(SEARCH($C$2,Inventory!A230)),ROW(Inventory!A230),""))</f>
        <v/>
      </c>
    </row>
    <row r="233" customFormat="false" ht="15" hidden="false" customHeight="false" outlineLevel="0" collapsed="false">
      <c r="A233" s="13" t="str">
        <f aca="false">IFERROR(IF(INDEX(Inventory!A:A,SMALL($H$5:$H$304,229))="","",INDEX(Inventory!A:A,SMALL($H$5:$H$304,229))),"")</f>
        <v/>
      </c>
      <c r="B233" s="13" t="str">
        <f aca="false">IFERROR(IF(INDEX(Inventory!B:B,SMALL($H$5:$H$304,229))="","",INDEX(Inventory!B:B,SMALL($H$5:$H$304,229))),"")</f>
        <v/>
      </c>
      <c r="C233" s="13" t="str">
        <f aca="false">IFERROR(IF(INDEX(Inventory!C:C,SMALL($H$5:$H$304,229))="","",INDEX(Inventory!C:C,SMALL($H$5:$H$304,229))),"")</f>
        <v/>
      </c>
      <c r="D233" s="13" t="str">
        <f aca="false">IFERROR(IF(INDEX(Inventory!D:D,SMALL($H$5:$H$304,229))="","",INDEX(Inventory!D:D,SMALL($H$5:$H$304,229))),"")</f>
        <v/>
      </c>
      <c r="E233" s="13" t="str">
        <f aca="false">IFERROR(IF(INDEX(Inventory!E:E,SMALL($H$5:$H$304,229))="","",INDEX(Inventory!E:E,SMALL($H$5:$H$304,229))),"")</f>
        <v/>
      </c>
      <c r="F233" s="13" t="str">
        <f aca="false">IFERROR(IF(INDEX(Inventory!F:F,SMALL($H$5:$H$304,229))="","",INDEX(Inventory!F:F,SMALL($H$5:$H$304,229))),"")</f>
        <v/>
      </c>
      <c r="G233" s="13" t="str">
        <f aca="false">IFERROR(IF(INDEX(Inventory!G:G,SMALL($H$5:$H$304,229))="","",INDEX(Inventory!G:G,SMALL($H$5:$H$304,229))),"")</f>
        <v/>
      </c>
      <c r="H233" s="1" t="str">
        <f aca="false">IF(Inventory!A231="","",IF(ISNUMBER(SEARCH($C$2,Inventory!A231)),ROW(Inventory!A231),""))</f>
        <v/>
      </c>
    </row>
    <row r="234" customFormat="false" ht="15" hidden="false" customHeight="false" outlineLevel="0" collapsed="false">
      <c r="A234" s="11" t="str">
        <f aca="false">IFERROR(IF(INDEX(Inventory!A:A,SMALL($H$5:$H$304,230))="","",INDEX(Inventory!A:A,SMALL($H$5:$H$304,230))),"")</f>
        <v/>
      </c>
      <c r="B234" s="11" t="str">
        <f aca="false">IFERROR(IF(INDEX(Inventory!B:B,SMALL($H$5:$H$304,230))="","",INDEX(Inventory!B:B,SMALL($H$5:$H$304,230))),"")</f>
        <v/>
      </c>
      <c r="C234" s="11" t="str">
        <f aca="false">IFERROR(IF(INDEX(Inventory!C:C,SMALL($H$5:$H$304,230))="","",INDEX(Inventory!C:C,SMALL($H$5:$H$304,230))),"")</f>
        <v/>
      </c>
      <c r="D234" s="11" t="str">
        <f aca="false">IFERROR(IF(INDEX(Inventory!D:D,SMALL($H$5:$H$304,230))="","",INDEX(Inventory!D:D,SMALL($H$5:$H$304,230))),"")</f>
        <v/>
      </c>
      <c r="E234" s="11" t="str">
        <f aca="false">IFERROR(IF(INDEX(Inventory!E:E,SMALL($H$5:$H$304,230))="","",INDEX(Inventory!E:E,SMALL($H$5:$H$304,230))),"")</f>
        <v/>
      </c>
      <c r="F234" s="11" t="str">
        <f aca="false">IFERROR(IF(INDEX(Inventory!F:F,SMALL($H$5:$H$304,230))="","",INDEX(Inventory!F:F,SMALL($H$5:$H$304,230))),"")</f>
        <v/>
      </c>
      <c r="G234" s="11" t="str">
        <f aca="false">IFERROR(IF(INDEX(Inventory!G:G,SMALL($H$5:$H$304,230))="","",INDEX(Inventory!G:G,SMALL($H$5:$H$304,230))),"")</f>
        <v/>
      </c>
      <c r="H234" s="1" t="str">
        <f aca="false">IF(Inventory!A232="","",IF(ISNUMBER(SEARCH($C$2,Inventory!A232)),ROW(Inventory!A232),""))</f>
        <v/>
      </c>
    </row>
    <row r="235" customFormat="false" ht="15" hidden="false" customHeight="false" outlineLevel="0" collapsed="false">
      <c r="A235" s="13" t="str">
        <f aca="false">IFERROR(IF(INDEX(Inventory!A:A,SMALL($H$5:$H$304,231))="","",INDEX(Inventory!A:A,SMALL($H$5:$H$304,231))),"")</f>
        <v/>
      </c>
      <c r="B235" s="13" t="str">
        <f aca="false">IFERROR(IF(INDEX(Inventory!B:B,SMALL($H$5:$H$304,231))="","",INDEX(Inventory!B:B,SMALL($H$5:$H$304,231))),"")</f>
        <v/>
      </c>
      <c r="C235" s="13" t="str">
        <f aca="false">IFERROR(IF(INDEX(Inventory!C:C,SMALL($H$5:$H$304,231))="","",INDEX(Inventory!C:C,SMALL($H$5:$H$304,231))),"")</f>
        <v/>
      </c>
      <c r="D235" s="13" t="str">
        <f aca="false">IFERROR(IF(INDEX(Inventory!D:D,SMALL($H$5:$H$304,231))="","",INDEX(Inventory!D:D,SMALL($H$5:$H$304,231))),"")</f>
        <v/>
      </c>
      <c r="E235" s="13" t="str">
        <f aca="false">IFERROR(IF(INDEX(Inventory!E:E,SMALL($H$5:$H$304,231))="","",INDEX(Inventory!E:E,SMALL($H$5:$H$304,231))),"")</f>
        <v/>
      </c>
      <c r="F235" s="13" t="str">
        <f aca="false">IFERROR(IF(INDEX(Inventory!F:F,SMALL($H$5:$H$304,231))="","",INDEX(Inventory!F:F,SMALL($H$5:$H$304,231))),"")</f>
        <v/>
      </c>
      <c r="G235" s="13" t="str">
        <f aca="false">IFERROR(IF(INDEX(Inventory!G:G,SMALL($H$5:$H$304,231))="","",INDEX(Inventory!G:G,SMALL($H$5:$H$304,231))),"")</f>
        <v/>
      </c>
      <c r="H235" s="1" t="str">
        <f aca="false">IF(Inventory!A233="","",IF(ISNUMBER(SEARCH($C$2,Inventory!A233)),ROW(Inventory!A233),""))</f>
        <v/>
      </c>
    </row>
    <row r="236" customFormat="false" ht="15" hidden="false" customHeight="false" outlineLevel="0" collapsed="false">
      <c r="A236" s="11" t="str">
        <f aca="false">IFERROR(IF(INDEX(Inventory!A:A,SMALL($H$5:$H$304,232))="","",INDEX(Inventory!A:A,SMALL($H$5:$H$304,232))),"")</f>
        <v/>
      </c>
      <c r="B236" s="11" t="str">
        <f aca="false">IFERROR(IF(INDEX(Inventory!B:B,SMALL($H$5:$H$304,232))="","",INDEX(Inventory!B:B,SMALL($H$5:$H$304,232))),"")</f>
        <v/>
      </c>
      <c r="C236" s="11" t="str">
        <f aca="false">IFERROR(IF(INDEX(Inventory!C:C,SMALL($H$5:$H$304,232))="","",INDEX(Inventory!C:C,SMALL($H$5:$H$304,232))),"")</f>
        <v/>
      </c>
      <c r="D236" s="11" t="str">
        <f aca="false">IFERROR(IF(INDEX(Inventory!D:D,SMALL($H$5:$H$304,232))="","",INDEX(Inventory!D:D,SMALL($H$5:$H$304,232))),"")</f>
        <v/>
      </c>
      <c r="E236" s="11" t="str">
        <f aca="false">IFERROR(IF(INDEX(Inventory!E:E,SMALL($H$5:$H$304,232))="","",INDEX(Inventory!E:E,SMALL($H$5:$H$304,232))),"")</f>
        <v/>
      </c>
      <c r="F236" s="11" t="str">
        <f aca="false">IFERROR(IF(INDEX(Inventory!F:F,SMALL($H$5:$H$304,232))="","",INDEX(Inventory!F:F,SMALL($H$5:$H$304,232))),"")</f>
        <v/>
      </c>
      <c r="G236" s="11" t="str">
        <f aca="false">IFERROR(IF(INDEX(Inventory!G:G,SMALL($H$5:$H$304,232))="","",INDEX(Inventory!G:G,SMALL($H$5:$H$304,232))),"")</f>
        <v/>
      </c>
      <c r="H236" s="1" t="str">
        <f aca="false">IF(Inventory!A234="","",IF(ISNUMBER(SEARCH($C$2,Inventory!A234)),ROW(Inventory!A234),""))</f>
        <v/>
      </c>
    </row>
    <row r="237" customFormat="false" ht="15" hidden="false" customHeight="false" outlineLevel="0" collapsed="false">
      <c r="A237" s="13" t="str">
        <f aca="false">IFERROR(IF(INDEX(Inventory!A:A,SMALL($H$5:$H$304,233))="","",INDEX(Inventory!A:A,SMALL($H$5:$H$304,233))),"")</f>
        <v/>
      </c>
      <c r="B237" s="13" t="str">
        <f aca="false">IFERROR(IF(INDEX(Inventory!B:B,SMALL($H$5:$H$304,233))="","",INDEX(Inventory!B:B,SMALL($H$5:$H$304,233))),"")</f>
        <v/>
      </c>
      <c r="C237" s="13" t="str">
        <f aca="false">IFERROR(IF(INDEX(Inventory!C:C,SMALL($H$5:$H$304,233))="","",INDEX(Inventory!C:C,SMALL($H$5:$H$304,233))),"")</f>
        <v/>
      </c>
      <c r="D237" s="13" t="str">
        <f aca="false">IFERROR(IF(INDEX(Inventory!D:D,SMALL($H$5:$H$304,233))="","",INDEX(Inventory!D:D,SMALL($H$5:$H$304,233))),"")</f>
        <v/>
      </c>
      <c r="E237" s="13" t="str">
        <f aca="false">IFERROR(IF(INDEX(Inventory!E:E,SMALL($H$5:$H$304,233))="","",INDEX(Inventory!E:E,SMALL($H$5:$H$304,233))),"")</f>
        <v/>
      </c>
      <c r="F237" s="13" t="str">
        <f aca="false">IFERROR(IF(INDEX(Inventory!F:F,SMALL($H$5:$H$304,233))="","",INDEX(Inventory!F:F,SMALL($H$5:$H$304,233))),"")</f>
        <v/>
      </c>
      <c r="G237" s="13" t="str">
        <f aca="false">IFERROR(IF(INDEX(Inventory!G:G,SMALL($H$5:$H$304,233))="","",INDEX(Inventory!G:G,SMALL($H$5:$H$304,233))),"")</f>
        <v/>
      </c>
      <c r="H237" s="1" t="str">
        <f aca="false">IF(Inventory!A235="","",IF(ISNUMBER(SEARCH($C$2,Inventory!A235)),ROW(Inventory!A235),""))</f>
        <v/>
      </c>
    </row>
    <row r="238" customFormat="false" ht="15" hidden="false" customHeight="false" outlineLevel="0" collapsed="false">
      <c r="A238" s="11" t="str">
        <f aca="false">IFERROR(IF(INDEX(Inventory!A:A,SMALL($H$5:$H$304,234))="","",INDEX(Inventory!A:A,SMALL($H$5:$H$304,234))),"")</f>
        <v/>
      </c>
      <c r="B238" s="11" t="str">
        <f aca="false">IFERROR(IF(INDEX(Inventory!B:B,SMALL($H$5:$H$304,234))="","",INDEX(Inventory!B:B,SMALL($H$5:$H$304,234))),"")</f>
        <v/>
      </c>
      <c r="C238" s="11" t="str">
        <f aca="false">IFERROR(IF(INDEX(Inventory!C:C,SMALL($H$5:$H$304,234))="","",INDEX(Inventory!C:C,SMALL($H$5:$H$304,234))),"")</f>
        <v/>
      </c>
      <c r="D238" s="11" t="str">
        <f aca="false">IFERROR(IF(INDEX(Inventory!D:D,SMALL($H$5:$H$304,234))="","",INDEX(Inventory!D:D,SMALL($H$5:$H$304,234))),"")</f>
        <v/>
      </c>
      <c r="E238" s="11" t="str">
        <f aca="false">IFERROR(IF(INDEX(Inventory!E:E,SMALL($H$5:$H$304,234))="","",INDEX(Inventory!E:E,SMALL($H$5:$H$304,234))),"")</f>
        <v/>
      </c>
      <c r="F238" s="11" t="str">
        <f aca="false">IFERROR(IF(INDEX(Inventory!F:F,SMALL($H$5:$H$304,234))="","",INDEX(Inventory!F:F,SMALL($H$5:$H$304,234))),"")</f>
        <v/>
      </c>
      <c r="G238" s="11" t="str">
        <f aca="false">IFERROR(IF(INDEX(Inventory!G:G,SMALL($H$5:$H$304,234))="","",INDEX(Inventory!G:G,SMALL($H$5:$H$304,234))),"")</f>
        <v/>
      </c>
      <c r="H238" s="1" t="str">
        <f aca="false">IF(Inventory!A236="","",IF(ISNUMBER(SEARCH($C$2,Inventory!A236)),ROW(Inventory!A236),""))</f>
        <v/>
      </c>
    </row>
    <row r="239" customFormat="false" ht="15" hidden="false" customHeight="false" outlineLevel="0" collapsed="false">
      <c r="A239" s="13" t="str">
        <f aca="false">IFERROR(IF(INDEX(Inventory!A:A,SMALL($H$5:$H$304,235))="","",INDEX(Inventory!A:A,SMALL($H$5:$H$304,235))),"")</f>
        <v/>
      </c>
      <c r="B239" s="13" t="str">
        <f aca="false">IFERROR(IF(INDEX(Inventory!B:B,SMALL($H$5:$H$304,235))="","",INDEX(Inventory!B:B,SMALL($H$5:$H$304,235))),"")</f>
        <v/>
      </c>
      <c r="C239" s="13" t="str">
        <f aca="false">IFERROR(IF(INDEX(Inventory!C:C,SMALL($H$5:$H$304,235))="","",INDEX(Inventory!C:C,SMALL($H$5:$H$304,235))),"")</f>
        <v/>
      </c>
      <c r="D239" s="13" t="str">
        <f aca="false">IFERROR(IF(INDEX(Inventory!D:D,SMALL($H$5:$H$304,235))="","",INDEX(Inventory!D:D,SMALL($H$5:$H$304,235))),"")</f>
        <v/>
      </c>
      <c r="E239" s="13" t="str">
        <f aca="false">IFERROR(IF(INDEX(Inventory!E:E,SMALL($H$5:$H$304,235))="","",INDEX(Inventory!E:E,SMALL($H$5:$H$304,235))),"")</f>
        <v/>
      </c>
      <c r="F239" s="13" t="str">
        <f aca="false">IFERROR(IF(INDEX(Inventory!F:F,SMALL($H$5:$H$304,235))="","",INDEX(Inventory!F:F,SMALL($H$5:$H$304,235))),"")</f>
        <v/>
      </c>
      <c r="G239" s="13" t="str">
        <f aca="false">IFERROR(IF(INDEX(Inventory!G:G,SMALL($H$5:$H$304,235))="","",INDEX(Inventory!G:G,SMALL($H$5:$H$304,235))),"")</f>
        <v/>
      </c>
      <c r="H239" s="1" t="str">
        <f aca="false">IF(Inventory!A237="","",IF(ISNUMBER(SEARCH($C$2,Inventory!A237)),ROW(Inventory!A237),""))</f>
        <v/>
      </c>
    </row>
    <row r="240" customFormat="false" ht="15" hidden="false" customHeight="false" outlineLevel="0" collapsed="false">
      <c r="A240" s="11" t="str">
        <f aca="false">IFERROR(IF(INDEX(Inventory!A:A,SMALL($H$5:$H$304,236))="","",INDEX(Inventory!A:A,SMALL($H$5:$H$304,236))),"")</f>
        <v/>
      </c>
      <c r="B240" s="11" t="str">
        <f aca="false">IFERROR(IF(INDEX(Inventory!B:B,SMALL($H$5:$H$304,236))="","",INDEX(Inventory!B:B,SMALL($H$5:$H$304,236))),"")</f>
        <v/>
      </c>
      <c r="C240" s="11" t="str">
        <f aca="false">IFERROR(IF(INDEX(Inventory!C:C,SMALL($H$5:$H$304,236))="","",INDEX(Inventory!C:C,SMALL($H$5:$H$304,236))),"")</f>
        <v/>
      </c>
      <c r="D240" s="11" t="str">
        <f aca="false">IFERROR(IF(INDEX(Inventory!D:D,SMALL($H$5:$H$304,236))="","",INDEX(Inventory!D:D,SMALL($H$5:$H$304,236))),"")</f>
        <v/>
      </c>
      <c r="E240" s="11" t="str">
        <f aca="false">IFERROR(IF(INDEX(Inventory!E:E,SMALL($H$5:$H$304,236))="","",INDEX(Inventory!E:E,SMALL($H$5:$H$304,236))),"")</f>
        <v/>
      </c>
      <c r="F240" s="11" t="str">
        <f aca="false">IFERROR(IF(INDEX(Inventory!F:F,SMALL($H$5:$H$304,236))="","",INDEX(Inventory!F:F,SMALL($H$5:$H$304,236))),"")</f>
        <v/>
      </c>
      <c r="G240" s="11" t="str">
        <f aca="false">IFERROR(IF(INDEX(Inventory!G:G,SMALL($H$5:$H$304,236))="","",INDEX(Inventory!G:G,SMALL($H$5:$H$304,236))),"")</f>
        <v/>
      </c>
      <c r="H240" s="1" t="str">
        <f aca="false">IF(Inventory!A238="","",IF(ISNUMBER(SEARCH($C$2,Inventory!A238)),ROW(Inventory!A238),""))</f>
        <v/>
      </c>
    </row>
    <row r="241" customFormat="false" ht="15" hidden="false" customHeight="false" outlineLevel="0" collapsed="false">
      <c r="A241" s="13" t="str">
        <f aca="false">IFERROR(IF(INDEX(Inventory!A:A,SMALL($H$5:$H$304,237))="","",INDEX(Inventory!A:A,SMALL($H$5:$H$304,237))),"")</f>
        <v/>
      </c>
      <c r="B241" s="13" t="str">
        <f aca="false">IFERROR(IF(INDEX(Inventory!B:B,SMALL($H$5:$H$304,237))="","",INDEX(Inventory!B:B,SMALL($H$5:$H$304,237))),"")</f>
        <v/>
      </c>
      <c r="C241" s="13" t="str">
        <f aca="false">IFERROR(IF(INDEX(Inventory!C:C,SMALL($H$5:$H$304,237))="","",INDEX(Inventory!C:C,SMALL($H$5:$H$304,237))),"")</f>
        <v/>
      </c>
      <c r="D241" s="13" t="str">
        <f aca="false">IFERROR(IF(INDEX(Inventory!D:D,SMALL($H$5:$H$304,237))="","",INDEX(Inventory!D:D,SMALL($H$5:$H$304,237))),"")</f>
        <v/>
      </c>
      <c r="E241" s="13" t="str">
        <f aca="false">IFERROR(IF(INDEX(Inventory!E:E,SMALL($H$5:$H$304,237))="","",INDEX(Inventory!E:E,SMALL($H$5:$H$304,237))),"")</f>
        <v/>
      </c>
      <c r="F241" s="13" t="str">
        <f aca="false">IFERROR(IF(INDEX(Inventory!F:F,SMALL($H$5:$H$304,237))="","",INDEX(Inventory!F:F,SMALL($H$5:$H$304,237))),"")</f>
        <v/>
      </c>
      <c r="G241" s="13" t="str">
        <f aca="false">IFERROR(IF(INDEX(Inventory!G:G,SMALL($H$5:$H$304,237))="","",INDEX(Inventory!G:G,SMALL($H$5:$H$304,237))),"")</f>
        <v/>
      </c>
      <c r="H241" s="1" t="str">
        <f aca="false">IF(Inventory!A239="","",IF(ISNUMBER(SEARCH($C$2,Inventory!A239)),ROW(Inventory!A239),""))</f>
        <v/>
      </c>
    </row>
    <row r="242" customFormat="false" ht="15" hidden="false" customHeight="false" outlineLevel="0" collapsed="false">
      <c r="A242" s="11" t="str">
        <f aca="false">IFERROR(IF(INDEX(Inventory!A:A,SMALL($H$5:$H$304,238))="","",INDEX(Inventory!A:A,SMALL($H$5:$H$304,238))),"")</f>
        <v/>
      </c>
      <c r="B242" s="11" t="str">
        <f aca="false">IFERROR(IF(INDEX(Inventory!B:B,SMALL($H$5:$H$304,238))="","",INDEX(Inventory!B:B,SMALL($H$5:$H$304,238))),"")</f>
        <v/>
      </c>
      <c r="C242" s="11" t="str">
        <f aca="false">IFERROR(IF(INDEX(Inventory!C:C,SMALL($H$5:$H$304,238))="","",INDEX(Inventory!C:C,SMALL($H$5:$H$304,238))),"")</f>
        <v/>
      </c>
      <c r="D242" s="11" t="str">
        <f aca="false">IFERROR(IF(INDEX(Inventory!D:D,SMALL($H$5:$H$304,238))="","",INDEX(Inventory!D:D,SMALL($H$5:$H$304,238))),"")</f>
        <v/>
      </c>
      <c r="E242" s="11" t="str">
        <f aca="false">IFERROR(IF(INDEX(Inventory!E:E,SMALL($H$5:$H$304,238))="","",INDEX(Inventory!E:E,SMALL($H$5:$H$304,238))),"")</f>
        <v/>
      </c>
      <c r="F242" s="11" t="str">
        <f aca="false">IFERROR(IF(INDEX(Inventory!F:F,SMALL($H$5:$H$304,238))="","",INDEX(Inventory!F:F,SMALL($H$5:$H$304,238))),"")</f>
        <v/>
      </c>
      <c r="G242" s="11" t="str">
        <f aca="false">IFERROR(IF(INDEX(Inventory!G:G,SMALL($H$5:$H$304,238))="","",INDEX(Inventory!G:G,SMALL($H$5:$H$304,238))),"")</f>
        <v/>
      </c>
      <c r="H242" s="1" t="str">
        <f aca="false">IF(Inventory!A240="","",IF(ISNUMBER(SEARCH($C$2,Inventory!A240)),ROW(Inventory!A240),""))</f>
        <v/>
      </c>
    </row>
    <row r="243" customFormat="false" ht="15" hidden="false" customHeight="false" outlineLevel="0" collapsed="false">
      <c r="A243" s="13" t="str">
        <f aca="false">IFERROR(IF(INDEX(Inventory!A:A,SMALL($H$5:$H$304,239))="","",INDEX(Inventory!A:A,SMALL($H$5:$H$304,239))),"")</f>
        <v/>
      </c>
      <c r="B243" s="13" t="str">
        <f aca="false">IFERROR(IF(INDEX(Inventory!B:B,SMALL($H$5:$H$304,239))="","",INDEX(Inventory!B:B,SMALL($H$5:$H$304,239))),"")</f>
        <v/>
      </c>
      <c r="C243" s="13" t="str">
        <f aca="false">IFERROR(IF(INDEX(Inventory!C:C,SMALL($H$5:$H$304,239))="","",INDEX(Inventory!C:C,SMALL($H$5:$H$304,239))),"")</f>
        <v/>
      </c>
      <c r="D243" s="13" t="str">
        <f aca="false">IFERROR(IF(INDEX(Inventory!D:D,SMALL($H$5:$H$304,239))="","",INDEX(Inventory!D:D,SMALL($H$5:$H$304,239))),"")</f>
        <v/>
      </c>
      <c r="E243" s="13" t="str">
        <f aca="false">IFERROR(IF(INDEX(Inventory!E:E,SMALL($H$5:$H$304,239))="","",INDEX(Inventory!E:E,SMALL($H$5:$H$304,239))),"")</f>
        <v/>
      </c>
      <c r="F243" s="13" t="str">
        <f aca="false">IFERROR(IF(INDEX(Inventory!F:F,SMALL($H$5:$H$304,239))="","",INDEX(Inventory!F:F,SMALL($H$5:$H$304,239))),"")</f>
        <v/>
      </c>
      <c r="G243" s="13" t="str">
        <f aca="false">IFERROR(IF(INDEX(Inventory!G:G,SMALL($H$5:$H$304,239))="","",INDEX(Inventory!G:G,SMALL($H$5:$H$304,239))),"")</f>
        <v/>
      </c>
      <c r="H243" s="1" t="str">
        <f aca="false">IF(Inventory!A241="","",IF(ISNUMBER(SEARCH($C$2,Inventory!A241)),ROW(Inventory!A241),""))</f>
        <v/>
      </c>
    </row>
    <row r="244" customFormat="false" ht="15" hidden="false" customHeight="false" outlineLevel="0" collapsed="false">
      <c r="A244" s="11" t="str">
        <f aca="false">IFERROR(IF(INDEX(Inventory!A:A,SMALL($H$5:$H$304,240))="","",INDEX(Inventory!A:A,SMALL($H$5:$H$304,240))),"")</f>
        <v/>
      </c>
      <c r="B244" s="11" t="str">
        <f aca="false">IFERROR(IF(INDEX(Inventory!B:B,SMALL($H$5:$H$304,240))="","",INDEX(Inventory!B:B,SMALL($H$5:$H$304,240))),"")</f>
        <v/>
      </c>
      <c r="C244" s="11" t="str">
        <f aca="false">IFERROR(IF(INDEX(Inventory!C:C,SMALL($H$5:$H$304,240))="","",INDEX(Inventory!C:C,SMALL($H$5:$H$304,240))),"")</f>
        <v/>
      </c>
      <c r="D244" s="11" t="str">
        <f aca="false">IFERROR(IF(INDEX(Inventory!D:D,SMALL($H$5:$H$304,240))="","",INDEX(Inventory!D:D,SMALL($H$5:$H$304,240))),"")</f>
        <v/>
      </c>
      <c r="E244" s="11" t="str">
        <f aca="false">IFERROR(IF(INDEX(Inventory!E:E,SMALL($H$5:$H$304,240))="","",INDEX(Inventory!E:E,SMALL($H$5:$H$304,240))),"")</f>
        <v/>
      </c>
      <c r="F244" s="11" t="str">
        <f aca="false">IFERROR(IF(INDEX(Inventory!F:F,SMALL($H$5:$H$304,240))="","",INDEX(Inventory!F:F,SMALL($H$5:$H$304,240))),"")</f>
        <v/>
      </c>
      <c r="G244" s="11" t="str">
        <f aca="false">IFERROR(IF(INDEX(Inventory!G:G,SMALL($H$5:$H$304,240))="","",INDEX(Inventory!G:G,SMALL($H$5:$H$304,240))),"")</f>
        <v/>
      </c>
      <c r="H244" s="1" t="str">
        <f aca="false">IF(Inventory!A242="","",IF(ISNUMBER(SEARCH($C$2,Inventory!A242)),ROW(Inventory!A242),""))</f>
        <v/>
      </c>
    </row>
    <row r="245" customFormat="false" ht="15" hidden="false" customHeight="false" outlineLevel="0" collapsed="false">
      <c r="A245" s="13" t="str">
        <f aca="false">IFERROR(IF(INDEX(Inventory!A:A,SMALL($H$5:$H$304,241))="","",INDEX(Inventory!A:A,SMALL($H$5:$H$304,241))),"")</f>
        <v/>
      </c>
      <c r="B245" s="13" t="str">
        <f aca="false">IFERROR(IF(INDEX(Inventory!B:B,SMALL($H$5:$H$304,241))="","",INDEX(Inventory!B:B,SMALL($H$5:$H$304,241))),"")</f>
        <v/>
      </c>
      <c r="C245" s="13" t="str">
        <f aca="false">IFERROR(IF(INDEX(Inventory!C:C,SMALL($H$5:$H$304,241))="","",INDEX(Inventory!C:C,SMALL($H$5:$H$304,241))),"")</f>
        <v/>
      </c>
      <c r="D245" s="13" t="str">
        <f aca="false">IFERROR(IF(INDEX(Inventory!D:D,SMALL($H$5:$H$304,241))="","",INDEX(Inventory!D:D,SMALL($H$5:$H$304,241))),"")</f>
        <v/>
      </c>
      <c r="E245" s="13" t="str">
        <f aca="false">IFERROR(IF(INDEX(Inventory!E:E,SMALL($H$5:$H$304,241))="","",INDEX(Inventory!E:E,SMALL($H$5:$H$304,241))),"")</f>
        <v/>
      </c>
      <c r="F245" s="13" t="str">
        <f aca="false">IFERROR(IF(INDEX(Inventory!F:F,SMALL($H$5:$H$304,241))="","",INDEX(Inventory!F:F,SMALL($H$5:$H$304,241))),"")</f>
        <v/>
      </c>
      <c r="G245" s="13" t="str">
        <f aca="false">IFERROR(IF(INDEX(Inventory!G:G,SMALL($H$5:$H$304,241))="","",INDEX(Inventory!G:G,SMALL($H$5:$H$304,241))),"")</f>
        <v/>
      </c>
      <c r="H245" s="1" t="str">
        <f aca="false">IF(Inventory!A243="","",IF(ISNUMBER(SEARCH($C$2,Inventory!A243)),ROW(Inventory!A243),""))</f>
        <v/>
      </c>
    </row>
    <row r="246" customFormat="false" ht="15" hidden="false" customHeight="false" outlineLevel="0" collapsed="false">
      <c r="A246" s="11" t="str">
        <f aca="false">IFERROR(IF(INDEX(Inventory!A:A,SMALL($H$5:$H$304,242))="","",INDEX(Inventory!A:A,SMALL($H$5:$H$304,242))),"")</f>
        <v/>
      </c>
      <c r="B246" s="11" t="str">
        <f aca="false">IFERROR(IF(INDEX(Inventory!B:B,SMALL($H$5:$H$304,242))="","",INDEX(Inventory!B:B,SMALL($H$5:$H$304,242))),"")</f>
        <v/>
      </c>
      <c r="C246" s="11" t="str">
        <f aca="false">IFERROR(IF(INDEX(Inventory!C:C,SMALL($H$5:$H$304,242))="","",INDEX(Inventory!C:C,SMALL($H$5:$H$304,242))),"")</f>
        <v/>
      </c>
      <c r="D246" s="11" t="str">
        <f aca="false">IFERROR(IF(INDEX(Inventory!D:D,SMALL($H$5:$H$304,242))="","",INDEX(Inventory!D:D,SMALL($H$5:$H$304,242))),"")</f>
        <v/>
      </c>
      <c r="E246" s="11" t="str">
        <f aca="false">IFERROR(IF(INDEX(Inventory!E:E,SMALL($H$5:$H$304,242))="","",INDEX(Inventory!E:E,SMALL($H$5:$H$304,242))),"")</f>
        <v/>
      </c>
      <c r="F246" s="11" t="str">
        <f aca="false">IFERROR(IF(INDEX(Inventory!F:F,SMALL($H$5:$H$304,242))="","",INDEX(Inventory!F:F,SMALL($H$5:$H$304,242))),"")</f>
        <v/>
      </c>
      <c r="G246" s="11" t="str">
        <f aca="false">IFERROR(IF(INDEX(Inventory!G:G,SMALL($H$5:$H$304,242))="","",INDEX(Inventory!G:G,SMALL($H$5:$H$304,242))),"")</f>
        <v/>
      </c>
      <c r="H246" s="1" t="str">
        <f aca="false">IF(Inventory!A244="","",IF(ISNUMBER(SEARCH($C$2,Inventory!A244)),ROW(Inventory!A244),""))</f>
        <v/>
      </c>
    </row>
    <row r="247" customFormat="false" ht="15" hidden="false" customHeight="false" outlineLevel="0" collapsed="false">
      <c r="A247" s="13" t="str">
        <f aca="false">IFERROR(IF(INDEX(Inventory!A:A,SMALL($H$5:$H$304,243))="","",INDEX(Inventory!A:A,SMALL($H$5:$H$304,243))),"")</f>
        <v/>
      </c>
      <c r="B247" s="13" t="str">
        <f aca="false">IFERROR(IF(INDEX(Inventory!B:B,SMALL($H$5:$H$304,243))="","",INDEX(Inventory!B:B,SMALL($H$5:$H$304,243))),"")</f>
        <v/>
      </c>
      <c r="C247" s="13" t="str">
        <f aca="false">IFERROR(IF(INDEX(Inventory!C:C,SMALL($H$5:$H$304,243))="","",INDEX(Inventory!C:C,SMALL($H$5:$H$304,243))),"")</f>
        <v/>
      </c>
      <c r="D247" s="13" t="str">
        <f aca="false">IFERROR(IF(INDEX(Inventory!D:D,SMALL($H$5:$H$304,243))="","",INDEX(Inventory!D:D,SMALL($H$5:$H$304,243))),"")</f>
        <v/>
      </c>
      <c r="E247" s="13" t="str">
        <f aca="false">IFERROR(IF(INDEX(Inventory!E:E,SMALL($H$5:$H$304,243))="","",INDEX(Inventory!E:E,SMALL($H$5:$H$304,243))),"")</f>
        <v/>
      </c>
      <c r="F247" s="13" t="str">
        <f aca="false">IFERROR(IF(INDEX(Inventory!F:F,SMALL($H$5:$H$304,243))="","",INDEX(Inventory!F:F,SMALL($H$5:$H$304,243))),"")</f>
        <v/>
      </c>
      <c r="G247" s="13" t="str">
        <f aca="false">IFERROR(IF(INDEX(Inventory!G:G,SMALL($H$5:$H$304,243))="","",INDEX(Inventory!G:G,SMALL($H$5:$H$304,243))),"")</f>
        <v/>
      </c>
      <c r="H247" s="1" t="str">
        <f aca="false">IF(Inventory!A245="","",IF(ISNUMBER(SEARCH($C$2,Inventory!A245)),ROW(Inventory!A245),""))</f>
        <v/>
      </c>
    </row>
    <row r="248" customFormat="false" ht="15" hidden="false" customHeight="false" outlineLevel="0" collapsed="false">
      <c r="A248" s="11" t="str">
        <f aca="false">IFERROR(IF(INDEX(Inventory!A:A,SMALL($H$5:$H$304,244))="","",INDEX(Inventory!A:A,SMALL($H$5:$H$304,244))),"")</f>
        <v/>
      </c>
      <c r="B248" s="11" t="str">
        <f aca="false">IFERROR(IF(INDEX(Inventory!B:B,SMALL($H$5:$H$304,244))="","",INDEX(Inventory!B:B,SMALL($H$5:$H$304,244))),"")</f>
        <v/>
      </c>
      <c r="C248" s="11" t="str">
        <f aca="false">IFERROR(IF(INDEX(Inventory!C:C,SMALL($H$5:$H$304,244))="","",INDEX(Inventory!C:C,SMALL($H$5:$H$304,244))),"")</f>
        <v/>
      </c>
      <c r="D248" s="11" t="str">
        <f aca="false">IFERROR(IF(INDEX(Inventory!D:D,SMALL($H$5:$H$304,244))="","",INDEX(Inventory!D:D,SMALL($H$5:$H$304,244))),"")</f>
        <v/>
      </c>
      <c r="E248" s="11" t="str">
        <f aca="false">IFERROR(IF(INDEX(Inventory!E:E,SMALL($H$5:$H$304,244))="","",INDEX(Inventory!E:E,SMALL($H$5:$H$304,244))),"")</f>
        <v/>
      </c>
      <c r="F248" s="11" t="str">
        <f aca="false">IFERROR(IF(INDEX(Inventory!F:F,SMALL($H$5:$H$304,244))="","",INDEX(Inventory!F:F,SMALL($H$5:$H$304,244))),"")</f>
        <v/>
      </c>
      <c r="G248" s="11" t="str">
        <f aca="false">IFERROR(IF(INDEX(Inventory!G:G,SMALL($H$5:$H$304,244))="","",INDEX(Inventory!G:G,SMALL($H$5:$H$304,244))),"")</f>
        <v/>
      </c>
      <c r="H248" s="1" t="str">
        <f aca="false">IF(Inventory!A246="","",IF(ISNUMBER(SEARCH($C$2,Inventory!A246)),ROW(Inventory!A246),""))</f>
        <v/>
      </c>
    </row>
    <row r="249" customFormat="false" ht="15" hidden="false" customHeight="false" outlineLevel="0" collapsed="false">
      <c r="A249" s="13" t="str">
        <f aca="false">IFERROR(IF(INDEX(Inventory!A:A,SMALL($H$5:$H$304,245))="","",INDEX(Inventory!A:A,SMALL($H$5:$H$304,245))),"")</f>
        <v/>
      </c>
      <c r="B249" s="13" t="str">
        <f aca="false">IFERROR(IF(INDEX(Inventory!B:B,SMALL($H$5:$H$304,245))="","",INDEX(Inventory!B:B,SMALL($H$5:$H$304,245))),"")</f>
        <v/>
      </c>
      <c r="C249" s="13" t="str">
        <f aca="false">IFERROR(IF(INDEX(Inventory!C:C,SMALL($H$5:$H$304,245))="","",INDEX(Inventory!C:C,SMALL($H$5:$H$304,245))),"")</f>
        <v/>
      </c>
      <c r="D249" s="13" t="str">
        <f aca="false">IFERROR(IF(INDEX(Inventory!D:D,SMALL($H$5:$H$304,245))="","",INDEX(Inventory!D:D,SMALL($H$5:$H$304,245))),"")</f>
        <v/>
      </c>
      <c r="E249" s="13" t="str">
        <f aca="false">IFERROR(IF(INDEX(Inventory!E:E,SMALL($H$5:$H$304,245))="","",INDEX(Inventory!E:E,SMALL($H$5:$H$304,245))),"")</f>
        <v/>
      </c>
      <c r="F249" s="13" t="str">
        <f aca="false">IFERROR(IF(INDEX(Inventory!F:F,SMALL($H$5:$H$304,245))="","",INDEX(Inventory!F:F,SMALL($H$5:$H$304,245))),"")</f>
        <v/>
      </c>
      <c r="G249" s="13" t="str">
        <f aca="false">IFERROR(IF(INDEX(Inventory!G:G,SMALL($H$5:$H$304,245))="","",INDEX(Inventory!G:G,SMALL($H$5:$H$304,245))),"")</f>
        <v/>
      </c>
      <c r="H249" s="1" t="str">
        <f aca="false">IF(Inventory!A247="","",IF(ISNUMBER(SEARCH($C$2,Inventory!A247)),ROW(Inventory!A247),""))</f>
        <v/>
      </c>
    </row>
    <row r="250" customFormat="false" ht="15" hidden="false" customHeight="false" outlineLevel="0" collapsed="false">
      <c r="A250" s="11" t="str">
        <f aca="false">IFERROR(IF(INDEX(Inventory!A:A,SMALL($H$5:$H$304,246))="","",INDEX(Inventory!A:A,SMALL($H$5:$H$304,246))),"")</f>
        <v/>
      </c>
      <c r="B250" s="11" t="str">
        <f aca="false">IFERROR(IF(INDEX(Inventory!B:B,SMALL($H$5:$H$304,246))="","",INDEX(Inventory!B:B,SMALL($H$5:$H$304,246))),"")</f>
        <v/>
      </c>
      <c r="C250" s="11" t="str">
        <f aca="false">IFERROR(IF(INDEX(Inventory!C:C,SMALL($H$5:$H$304,246))="","",INDEX(Inventory!C:C,SMALL($H$5:$H$304,246))),"")</f>
        <v/>
      </c>
      <c r="D250" s="11" t="str">
        <f aca="false">IFERROR(IF(INDEX(Inventory!D:D,SMALL($H$5:$H$304,246))="","",INDEX(Inventory!D:D,SMALL($H$5:$H$304,246))),"")</f>
        <v/>
      </c>
      <c r="E250" s="11" t="str">
        <f aca="false">IFERROR(IF(INDEX(Inventory!E:E,SMALL($H$5:$H$304,246))="","",INDEX(Inventory!E:E,SMALL($H$5:$H$304,246))),"")</f>
        <v/>
      </c>
      <c r="F250" s="11" t="str">
        <f aca="false">IFERROR(IF(INDEX(Inventory!F:F,SMALL($H$5:$H$304,246))="","",INDEX(Inventory!F:F,SMALL($H$5:$H$304,246))),"")</f>
        <v/>
      </c>
      <c r="G250" s="11" t="str">
        <f aca="false">IFERROR(IF(INDEX(Inventory!G:G,SMALL($H$5:$H$304,246))="","",INDEX(Inventory!G:G,SMALL($H$5:$H$304,246))),"")</f>
        <v/>
      </c>
      <c r="H250" s="1" t="str">
        <f aca="false">IF(Inventory!A248="","",IF(ISNUMBER(SEARCH($C$2,Inventory!A248)),ROW(Inventory!A248),""))</f>
        <v/>
      </c>
    </row>
    <row r="251" customFormat="false" ht="15" hidden="false" customHeight="false" outlineLevel="0" collapsed="false">
      <c r="A251" s="13" t="str">
        <f aca="false">IFERROR(IF(INDEX(Inventory!A:A,SMALL($H$5:$H$304,247))="","",INDEX(Inventory!A:A,SMALL($H$5:$H$304,247))),"")</f>
        <v/>
      </c>
      <c r="B251" s="13" t="str">
        <f aca="false">IFERROR(IF(INDEX(Inventory!B:B,SMALL($H$5:$H$304,247))="","",INDEX(Inventory!B:B,SMALL($H$5:$H$304,247))),"")</f>
        <v/>
      </c>
      <c r="C251" s="13" t="str">
        <f aca="false">IFERROR(IF(INDEX(Inventory!C:C,SMALL($H$5:$H$304,247))="","",INDEX(Inventory!C:C,SMALL($H$5:$H$304,247))),"")</f>
        <v/>
      </c>
      <c r="D251" s="13" t="str">
        <f aca="false">IFERROR(IF(INDEX(Inventory!D:D,SMALL($H$5:$H$304,247))="","",INDEX(Inventory!D:D,SMALL($H$5:$H$304,247))),"")</f>
        <v/>
      </c>
      <c r="E251" s="13" t="str">
        <f aca="false">IFERROR(IF(INDEX(Inventory!E:E,SMALL($H$5:$H$304,247))="","",INDEX(Inventory!E:E,SMALL($H$5:$H$304,247))),"")</f>
        <v/>
      </c>
      <c r="F251" s="13" t="str">
        <f aca="false">IFERROR(IF(INDEX(Inventory!F:F,SMALL($H$5:$H$304,247))="","",INDEX(Inventory!F:F,SMALL($H$5:$H$304,247))),"")</f>
        <v/>
      </c>
      <c r="G251" s="13" t="str">
        <f aca="false">IFERROR(IF(INDEX(Inventory!G:G,SMALL($H$5:$H$304,247))="","",INDEX(Inventory!G:G,SMALL($H$5:$H$304,247))),"")</f>
        <v/>
      </c>
      <c r="H251" s="1" t="str">
        <f aca="false">IF(Inventory!A249="","",IF(ISNUMBER(SEARCH($C$2,Inventory!A249)),ROW(Inventory!A249),""))</f>
        <v/>
      </c>
    </row>
    <row r="252" customFormat="false" ht="15" hidden="false" customHeight="false" outlineLevel="0" collapsed="false">
      <c r="A252" s="11" t="str">
        <f aca="false">IFERROR(IF(INDEX(Inventory!A:A,SMALL($H$5:$H$304,248))="","",INDEX(Inventory!A:A,SMALL($H$5:$H$304,248))),"")</f>
        <v/>
      </c>
      <c r="B252" s="11" t="str">
        <f aca="false">IFERROR(IF(INDEX(Inventory!B:B,SMALL($H$5:$H$304,248))="","",INDEX(Inventory!B:B,SMALL($H$5:$H$304,248))),"")</f>
        <v/>
      </c>
      <c r="C252" s="11" t="str">
        <f aca="false">IFERROR(IF(INDEX(Inventory!C:C,SMALL($H$5:$H$304,248))="","",INDEX(Inventory!C:C,SMALL($H$5:$H$304,248))),"")</f>
        <v/>
      </c>
      <c r="D252" s="11" t="str">
        <f aca="false">IFERROR(IF(INDEX(Inventory!D:D,SMALL($H$5:$H$304,248))="","",INDEX(Inventory!D:D,SMALL($H$5:$H$304,248))),"")</f>
        <v/>
      </c>
      <c r="E252" s="11" t="str">
        <f aca="false">IFERROR(IF(INDEX(Inventory!E:E,SMALL($H$5:$H$304,248))="","",INDEX(Inventory!E:E,SMALL($H$5:$H$304,248))),"")</f>
        <v/>
      </c>
      <c r="F252" s="11" t="str">
        <f aca="false">IFERROR(IF(INDEX(Inventory!F:F,SMALL($H$5:$H$304,248))="","",INDEX(Inventory!F:F,SMALL($H$5:$H$304,248))),"")</f>
        <v/>
      </c>
      <c r="G252" s="11" t="str">
        <f aca="false">IFERROR(IF(INDEX(Inventory!G:G,SMALL($H$5:$H$304,248))="","",INDEX(Inventory!G:G,SMALL($H$5:$H$304,248))),"")</f>
        <v/>
      </c>
      <c r="H252" s="1" t="str">
        <f aca="false">IF(Inventory!A250="","",IF(ISNUMBER(SEARCH($C$2,Inventory!A250)),ROW(Inventory!A250),""))</f>
        <v/>
      </c>
    </row>
    <row r="253" customFormat="false" ht="15" hidden="false" customHeight="false" outlineLevel="0" collapsed="false">
      <c r="A253" s="13" t="str">
        <f aca="false">IFERROR(IF(INDEX(Inventory!A:A,SMALL($H$5:$H$304,249))="","",INDEX(Inventory!A:A,SMALL($H$5:$H$304,249))),"")</f>
        <v/>
      </c>
      <c r="B253" s="13" t="str">
        <f aca="false">IFERROR(IF(INDEX(Inventory!B:B,SMALL($H$5:$H$304,249))="","",INDEX(Inventory!B:B,SMALL($H$5:$H$304,249))),"")</f>
        <v/>
      </c>
      <c r="C253" s="13" t="str">
        <f aca="false">IFERROR(IF(INDEX(Inventory!C:C,SMALL($H$5:$H$304,249))="","",INDEX(Inventory!C:C,SMALL($H$5:$H$304,249))),"")</f>
        <v/>
      </c>
      <c r="D253" s="13" t="str">
        <f aca="false">IFERROR(IF(INDEX(Inventory!D:D,SMALL($H$5:$H$304,249))="","",INDEX(Inventory!D:D,SMALL($H$5:$H$304,249))),"")</f>
        <v/>
      </c>
      <c r="E253" s="13" t="str">
        <f aca="false">IFERROR(IF(INDEX(Inventory!E:E,SMALL($H$5:$H$304,249))="","",INDEX(Inventory!E:E,SMALL($H$5:$H$304,249))),"")</f>
        <v/>
      </c>
      <c r="F253" s="13" t="str">
        <f aca="false">IFERROR(IF(INDEX(Inventory!F:F,SMALL($H$5:$H$304,249))="","",INDEX(Inventory!F:F,SMALL($H$5:$H$304,249))),"")</f>
        <v/>
      </c>
      <c r="G253" s="13" t="str">
        <f aca="false">IFERROR(IF(INDEX(Inventory!G:G,SMALL($H$5:$H$304,249))="","",INDEX(Inventory!G:G,SMALL($H$5:$H$304,249))),"")</f>
        <v/>
      </c>
      <c r="H253" s="1" t="str">
        <f aca="false">IF(Inventory!A251="","",IF(ISNUMBER(SEARCH($C$2,Inventory!A251)),ROW(Inventory!A251),""))</f>
        <v/>
      </c>
    </row>
    <row r="254" customFormat="false" ht="15" hidden="false" customHeight="false" outlineLevel="0" collapsed="false">
      <c r="A254" s="11" t="str">
        <f aca="false">IFERROR(IF(INDEX(Inventory!A:A,SMALL($H$5:$H$304,250))="","",INDEX(Inventory!A:A,SMALL($H$5:$H$304,250))),"")</f>
        <v/>
      </c>
      <c r="B254" s="11" t="str">
        <f aca="false">IFERROR(IF(INDEX(Inventory!B:B,SMALL($H$5:$H$304,250))="","",INDEX(Inventory!B:B,SMALL($H$5:$H$304,250))),"")</f>
        <v/>
      </c>
      <c r="C254" s="11" t="str">
        <f aca="false">IFERROR(IF(INDEX(Inventory!C:C,SMALL($H$5:$H$304,250))="","",INDEX(Inventory!C:C,SMALL($H$5:$H$304,250))),"")</f>
        <v/>
      </c>
      <c r="D254" s="11" t="str">
        <f aca="false">IFERROR(IF(INDEX(Inventory!D:D,SMALL($H$5:$H$304,250))="","",INDEX(Inventory!D:D,SMALL($H$5:$H$304,250))),"")</f>
        <v/>
      </c>
      <c r="E254" s="11" t="str">
        <f aca="false">IFERROR(IF(INDEX(Inventory!E:E,SMALL($H$5:$H$304,250))="","",INDEX(Inventory!E:E,SMALL($H$5:$H$304,250))),"")</f>
        <v/>
      </c>
      <c r="F254" s="11" t="str">
        <f aca="false">IFERROR(IF(INDEX(Inventory!F:F,SMALL($H$5:$H$304,250))="","",INDEX(Inventory!F:F,SMALL($H$5:$H$304,250))),"")</f>
        <v/>
      </c>
      <c r="G254" s="11" t="str">
        <f aca="false">IFERROR(IF(INDEX(Inventory!G:G,SMALL($H$5:$H$304,250))="","",INDEX(Inventory!G:G,SMALL($H$5:$H$304,250))),"")</f>
        <v/>
      </c>
      <c r="H254" s="1" t="str">
        <f aca="false">IF(Inventory!A252="","",IF(ISNUMBER(SEARCH($C$2,Inventory!A252)),ROW(Inventory!A252),""))</f>
        <v/>
      </c>
    </row>
    <row r="255" customFormat="false" ht="15" hidden="false" customHeight="false" outlineLevel="0" collapsed="false">
      <c r="A255" s="13" t="str">
        <f aca="false">IFERROR(IF(INDEX(Inventory!A:A,SMALL($H$5:$H$304,251))="","",INDEX(Inventory!A:A,SMALL($H$5:$H$304,251))),"")</f>
        <v/>
      </c>
      <c r="B255" s="13" t="str">
        <f aca="false">IFERROR(IF(INDEX(Inventory!B:B,SMALL($H$5:$H$304,251))="","",INDEX(Inventory!B:B,SMALL($H$5:$H$304,251))),"")</f>
        <v/>
      </c>
      <c r="C255" s="13" t="str">
        <f aca="false">IFERROR(IF(INDEX(Inventory!C:C,SMALL($H$5:$H$304,251))="","",INDEX(Inventory!C:C,SMALL($H$5:$H$304,251))),"")</f>
        <v/>
      </c>
      <c r="D255" s="13" t="str">
        <f aca="false">IFERROR(IF(INDEX(Inventory!D:D,SMALL($H$5:$H$304,251))="","",INDEX(Inventory!D:D,SMALL($H$5:$H$304,251))),"")</f>
        <v/>
      </c>
      <c r="E255" s="13" t="str">
        <f aca="false">IFERROR(IF(INDEX(Inventory!E:E,SMALL($H$5:$H$304,251))="","",INDEX(Inventory!E:E,SMALL($H$5:$H$304,251))),"")</f>
        <v/>
      </c>
      <c r="F255" s="13" t="str">
        <f aca="false">IFERROR(IF(INDEX(Inventory!F:F,SMALL($H$5:$H$304,251))="","",INDEX(Inventory!F:F,SMALL($H$5:$H$304,251))),"")</f>
        <v/>
      </c>
      <c r="G255" s="13" t="str">
        <f aca="false">IFERROR(IF(INDEX(Inventory!G:G,SMALL($H$5:$H$304,251))="","",INDEX(Inventory!G:G,SMALL($H$5:$H$304,251))),"")</f>
        <v/>
      </c>
      <c r="H255" s="1" t="str">
        <f aca="false">IF(Inventory!A253="","",IF(ISNUMBER(SEARCH($C$2,Inventory!A253)),ROW(Inventory!A253),""))</f>
        <v/>
      </c>
    </row>
    <row r="256" customFormat="false" ht="15" hidden="false" customHeight="false" outlineLevel="0" collapsed="false">
      <c r="A256" s="11" t="str">
        <f aca="false">IFERROR(IF(INDEX(Inventory!A:A,SMALL($H$5:$H$304,252))="","",INDEX(Inventory!A:A,SMALL($H$5:$H$304,252))),"")</f>
        <v/>
      </c>
      <c r="B256" s="11" t="str">
        <f aca="false">IFERROR(IF(INDEX(Inventory!B:B,SMALL($H$5:$H$304,252))="","",INDEX(Inventory!B:B,SMALL($H$5:$H$304,252))),"")</f>
        <v/>
      </c>
      <c r="C256" s="11" t="str">
        <f aca="false">IFERROR(IF(INDEX(Inventory!C:C,SMALL($H$5:$H$304,252))="","",INDEX(Inventory!C:C,SMALL($H$5:$H$304,252))),"")</f>
        <v/>
      </c>
      <c r="D256" s="11" t="str">
        <f aca="false">IFERROR(IF(INDEX(Inventory!D:D,SMALL($H$5:$H$304,252))="","",INDEX(Inventory!D:D,SMALL($H$5:$H$304,252))),"")</f>
        <v/>
      </c>
      <c r="E256" s="11" t="str">
        <f aca="false">IFERROR(IF(INDEX(Inventory!E:E,SMALL($H$5:$H$304,252))="","",INDEX(Inventory!E:E,SMALL($H$5:$H$304,252))),"")</f>
        <v/>
      </c>
      <c r="F256" s="11" t="str">
        <f aca="false">IFERROR(IF(INDEX(Inventory!F:F,SMALL($H$5:$H$304,252))="","",INDEX(Inventory!F:F,SMALL($H$5:$H$304,252))),"")</f>
        <v/>
      </c>
      <c r="G256" s="11" t="str">
        <f aca="false">IFERROR(IF(INDEX(Inventory!G:G,SMALL($H$5:$H$304,252))="","",INDEX(Inventory!G:G,SMALL($H$5:$H$304,252))),"")</f>
        <v/>
      </c>
      <c r="H256" s="1" t="str">
        <f aca="false">IF(Inventory!A254="","",IF(ISNUMBER(SEARCH($C$2,Inventory!A254)),ROW(Inventory!A254),""))</f>
        <v/>
      </c>
    </row>
    <row r="257" customFormat="false" ht="15" hidden="false" customHeight="false" outlineLevel="0" collapsed="false">
      <c r="A257" s="13" t="str">
        <f aca="false">IFERROR(IF(INDEX(Inventory!A:A,SMALL($H$5:$H$304,253))="","",INDEX(Inventory!A:A,SMALL($H$5:$H$304,253))),"")</f>
        <v/>
      </c>
      <c r="B257" s="13" t="str">
        <f aca="false">IFERROR(IF(INDEX(Inventory!B:B,SMALL($H$5:$H$304,253))="","",INDEX(Inventory!B:B,SMALL($H$5:$H$304,253))),"")</f>
        <v/>
      </c>
      <c r="C257" s="13" t="str">
        <f aca="false">IFERROR(IF(INDEX(Inventory!C:C,SMALL($H$5:$H$304,253))="","",INDEX(Inventory!C:C,SMALL($H$5:$H$304,253))),"")</f>
        <v/>
      </c>
      <c r="D257" s="13" t="str">
        <f aca="false">IFERROR(IF(INDEX(Inventory!D:D,SMALL($H$5:$H$304,253))="","",INDEX(Inventory!D:D,SMALL($H$5:$H$304,253))),"")</f>
        <v/>
      </c>
      <c r="E257" s="13" t="str">
        <f aca="false">IFERROR(IF(INDEX(Inventory!E:E,SMALL($H$5:$H$304,253))="","",INDEX(Inventory!E:E,SMALL($H$5:$H$304,253))),"")</f>
        <v/>
      </c>
      <c r="F257" s="13" t="str">
        <f aca="false">IFERROR(IF(INDEX(Inventory!F:F,SMALL($H$5:$H$304,253))="","",INDEX(Inventory!F:F,SMALL($H$5:$H$304,253))),"")</f>
        <v/>
      </c>
      <c r="G257" s="13" t="str">
        <f aca="false">IFERROR(IF(INDEX(Inventory!G:G,SMALL($H$5:$H$304,253))="","",INDEX(Inventory!G:G,SMALL($H$5:$H$304,253))),"")</f>
        <v/>
      </c>
      <c r="H257" s="1" t="str">
        <f aca="false">IF(Inventory!A255="","",IF(ISNUMBER(SEARCH($C$2,Inventory!A255)),ROW(Inventory!A255),""))</f>
        <v/>
      </c>
    </row>
    <row r="258" customFormat="false" ht="15" hidden="false" customHeight="false" outlineLevel="0" collapsed="false">
      <c r="A258" s="11" t="str">
        <f aca="false">IFERROR(IF(INDEX(Inventory!A:A,SMALL($H$5:$H$304,254))="","",INDEX(Inventory!A:A,SMALL($H$5:$H$304,254))),"")</f>
        <v/>
      </c>
      <c r="B258" s="11" t="str">
        <f aca="false">IFERROR(IF(INDEX(Inventory!B:B,SMALL($H$5:$H$304,254))="","",INDEX(Inventory!B:B,SMALL($H$5:$H$304,254))),"")</f>
        <v/>
      </c>
      <c r="C258" s="11" t="str">
        <f aca="false">IFERROR(IF(INDEX(Inventory!C:C,SMALL($H$5:$H$304,254))="","",INDEX(Inventory!C:C,SMALL($H$5:$H$304,254))),"")</f>
        <v/>
      </c>
      <c r="D258" s="11" t="str">
        <f aca="false">IFERROR(IF(INDEX(Inventory!D:D,SMALL($H$5:$H$304,254))="","",INDEX(Inventory!D:D,SMALL($H$5:$H$304,254))),"")</f>
        <v/>
      </c>
      <c r="E258" s="11" t="str">
        <f aca="false">IFERROR(IF(INDEX(Inventory!E:E,SMALL($H$5:$H$304,254))="","",INDEX(Inventory!E:E,SMALL($H$5:$H$304,254))),"")</f>
        <v/>
      </c>
      <c r="F258" s="11" t="str">
        <f aca="false">IFERROR(IF(INDEX(Inventory!F:F,SMALL($H$5:$H$304,254))="","",INDEX(Inventory!F:F,SMALL($H$5:$H$304,254))),"")</f>
        <v/>
      </c>
      <c r="G258" s="11" t="str">
        <f aca="false">IFERROR(IF(INDEX(Inventory!G:G,SMALL($H$5:$H$304,254))="","",INDEX(Inventory!G:G,SMALL($H$5:$H$304,254))),"")</f>
        <v/>
      </c>
      <c r="H258" s="1" t="str">
        <f aca="false">IF(Inventory!A256="","",IF(ISNUMBER(SEARCH($C$2,Inventory!A256)),ROW(Inventory!A256),""))</f>
        <v/>
      </c>
    </row>
    <row r="259" customFormat="false" ht="15" hidden="false" customHeight="false" outlineLevel="0" collapsed="false">
      <c r="A259" s="13" t="str">
        <f aca="false">IFERROR(IF(INDEX(Inventory!A:A,SMALL($H$5:$H$304,255))="","",INDEX(Inventory!A:A,SMALL($H$5:$H$304,255))),"")</f>
        <v/>
      </c>
      <c r="B259" s="13" t="str">
        <f aca="false">IFERROR(IF(INDEX(Inventory!B:B,SMALL($H$5:$H$304,255))="","",INDEX(Inventory!B:B,SMALL($H$5:$H$304,255))),"")</f>
        <v/>
      </c>
      <c r="C259" s="13" t="str">
        <f aca="false">IFERROR(IF(INDEX(Inventory!C:C,SMALL($H$5:$H$304,255))="","",INDEX(Inventory!C:C,SMALL($H$5:$H$304,255))),"")</f>
        <v/>
      </c>
      <c r="D259" s="13" t="str">
        <f aca="false">IFERROR(IF(INDEX(Inventory!D:D,SMALL($H$5:$H$304,255))="","",INDEX(Inventory!D:D,SMALL($H$5:$H$304,255))),"")</f>
        <v/>
      </c>
      <c r="E259" s="13" t="str">
        <f aca="false">IFERROR(IF(INDEX(Inventory!E:E,SMALL($H$5:$H$304,255))="","",INDEX(Inventory!E:E,SMALL($H$5:$H$304,255))),"")</f>
        <v/>
      </c>
      <c r="F259" s="13" t="str">
        <f aca="false">IFERROR(IF(INDEX(Inventory!F:F,SMALL($H$5:$H$304,255))="","",INDEX(Inventory!F:F,SMALL($H$5:$H$304,255))),"")</f>
        <v/>
      </c>
      <c r="G259" s="13" t="str">
        <f aca="false">IFERROR(IF(INDEX(Inventory!G:G,SMALL($H$5:$H$304,255))="","",INDEX(Inventory!G:G,SMALL($H$5:$H$304,255))),"")</f>
        <v/>
      </c>
      <c r="H259" s="1" t="str">
        <f aca="false">IF(Inventory!A257="","",IF(ISNUMBER(SEARCH($C$2,Inventory!A257)),ROW(Inventory!A257),""))</f>
        <v/>
      </c>
    </row>
    <row r="260" customFormat="false" ht="15" hidden="false" customHeight="false" outlineLevel="0" collapsed="false">
      <c r="A260" s="11" t="str">
        <f aca="false">IFERROR(IF(INDEX(Inventory!A:A,SMALL($H$5:$H$304,256))="","",INDEX(Inventory!A:A,SMALL($H$5:$H$304,256))),"")</f>
        <v/>
      </c>
      <c r="B260" s="11" t="str">
        <f aca="false">IFERROR(IF(INDEX(Inventory!B:B,SMALL($H$5:$H$304,256))="","",INDEX(Inventory!B:B,SMALL($H$5:$H$304,256))),"")</f>
        <v/>
      </c>
      <c r="C260" s="11" t="str">
        <f aca="false">IFERROR(IF(INDEX(Inventory!C:C,SMALL($H$5:$H$304,256))="","",INDEX(Inventory!C:C,SMALL($H$5:$H$304,256))),"")</f>
        <v/>
      </c>
      <c r="D260" s="11" t="str">
        <f aca="false">IFERROR(IF(INDEX(Inventory!D:D,SMALL($H$5:$H$304,256))="","",INDEX(Inventory!D:D,SMALL($H$5:$H$304,256))),"")</f>
        <v/>
      </c>
      <c r="E260" s="11" t="str">
        <f aca="false">IFERROR(IF(INDEX(Inventory!E:E,SMALL($H$5:$H$304,256))="","",INDEX(Inventory!E:E,SMALL($H$5:$H$304,256))),"")</f>
        <v/>
      </c>
      <c r="F260" s="11" t="str">
        <f aca="false">IFERROR(IF(INDEX(Inventory!F:F,SMALL($H$5:$H$304,256))="","",INDEX(Inventory!F:F,SMALL($H$5:$H$304,256))),"")</f>
        <v/>
      </c>
      <c r="G260" s="11" t="str">
        <f aca="false">IFERROR(IF(INDEX(Inventory!G:G,SMALL($H$5:$H$304,256))="","",INDEX(Inventory!G:G,SMALL($H$5:$H$304,256))),"")</f>
        <v/>
      </c>
      <c r="H260" s="1" t="str">
        <f aca="false">IF(Inventory!A258="","",IF(ISNUMBER(SEARCH($C$2,Inventory!A258)),ROW(Inventory!A258),""))</f>
        <v/>
      </c>
    </row>
    <row r="261" customFormat="false" ht="15" hidden="false" customHeight="false" outlineLevel="0" collapsed="false">
      <c r="A261" s="13" t="str">
        <f aca="false">IFERROR(IF(INDEX(Inventory!A:A,SMALL($H$5:$H$304,257))="","",INDEX(Inventory!A:A,SMALL($H$5:$H$304,257))),"")</f>
        <v/>
      </c>
      <c r="B261" s="13" t="str">
        <f aca="false">IFERROR(IF(INDEX(Inventory!B:B,SMALL($H$5:$H$304,257))="","",INDEX(Inventory!B:B,SMALL($H$5:$H$304,257))),"")</f>
        <v/>
      </c>
      <c r="C261" s="13" t="str">
        <f aca="false">IFERROR(IF(INDEX(Inventory!C:C,SMALL($H$5:$H$304,257))="","",INDEX(Inventory!C:C,SMALL($H$5:$H$304,257))),"")</f>
        <v/>
      </c>
      <c r="D261" s="13" t="str">
        <f aca="false">IFERROR(IF(INDEX(Inventory!D:D,SMALL($H$5:$H$304,257))="","",INDEX(Inventory!D:D,SMALL($H$5:$H$304,257))),"")</f>
        <v/>
      </c>
      <c r="E261" s="13" t="str">
        <f aca="false">IFERROR(IF(INDEX(Inventory!E:E,SMALL($H$5:$H$304,257))="","",INDEX(Inventory!E:E,SMALL($H$5:$H$304,257))),"")</f>
        <v/>
      </c>
      <c r="F261" s="13" t="str">
        <f aca="false">IFERROR(IF(INDEX(Inventory!F:F,SMALL($H$5:$H$304,257))="","",INDEX(Inventory!F:F,SMALL($H$5:$H$304,257))),"")</f>
        <v/>
      </c>
      <c r="G261" s="13" t="str">
        <f aca="false">IFERROR(IF(INDEX(Inventory!G:G,SMALL($H$5:$H$304,257))="","",INDEX(Inventory!G:G,SMALL($H$5:$H$304,257))),"")</f>
        <v/>
      </c>
      <c r="H261" s="1" t="str">
        <f aca="false">IF(Inventory!A259="","",IF(ISNUMBER(SEARCH($C$2,Inventory!A259)),ROW(Inventory!A259),""))</f>
        <v/>
      </c>
    </row>
    <row r="262" customFormat="false" ht="15" hidden="false" customHeight="false" outlineLevel="0" collapsed="false">
      <c r="A262" s="11" t="str">
        <f aca="false">IFERROR(IF(INDEX(Inventory!A:A,SMALL($H$5:$H$304,258))="","",INDEX(Inventory!A:A,SMALL($H$5:$H$304,258))),"")</f>
        <v/>
      </c>
      <c r="B262" s="11" t="str">
        <f aca="false">IFERROR(IF(INDEX(Inventory!B:B,SMALL($H$5:$H$304,258))="","",INDEX(Inventory!B:B,SMALL($H$5:$H$304,258))),"")</f>
        <v/>
      </c>
      <c r="C262" s="11" t="str">
        <f aca="false">IFERROR(IF(INDEX(Inventory!C:C,SMALL($H$5:$H$304,258))="","",INDEX(Inventory!C:C,SMALL($H$5:$H$304,258))),"")</f>
        <v/>
      </c>
      <c r="D262" s="11" t="str">
        <f aca="false">IFERROR(IF(INDEX(Inventory!D:D,SMALL($H$5:$H$304,258))="","",INDEX(Inventory!D:D,SMALL($H$5:$H$304,258))),"")</f>
        <v/>
      </c>
      <c r="E262" s="11" t="str">
        <f aca="false">IFERROR(IF(INDEX(Inventory!E:E,SMALL($H$5:$H$304,258))="","",INDEX(Inventory!E:E,SMALL($H$5:$H$304,258))),"")</f>
        <v/>
      </c>
      <c r="F262" s="11" t="str">
        <f aca="false">IFERROR(IF(INDEX(Inventory!F:F,SMALL($H$5:$H$304,258))="","",INDEX(Inventory!F:F,SMALL($H$5:$H$304,258))),"")</f>
        <v/>
      </c>
      <c r="G262" s="11" t="str">
        <f aca="false">IFERROR(IF(INDEX(Inventory!G:G,SMALL($H$5:$H$304,258))="","",INDEX(Inventory!G:G,SMALL($H$5:$H$304,258))),"")</f>
        <v/>
      </c>
      <c r="H262" s="1" t="str">
        <f aca="false">IF(Inventory!A260="","",IF(ISNUMBER(SEARCH($C$2,Inventory!A260)),ROW(Inventory!A260),""))</f>
        <v/>
      </c>
    </row>
    <row r="263" customFormat="false" ht="15" hidden="false" customHeight="false" outlineLevel="0" collapsed="false">
      <c r="A263" s="13" t="str">
        <f aca="false">IFERROR(IF(INDEX(Inventory!A:A,SMALL($H$5:$H$304,259))="","",INDEX(Inventory!A:A,SMALL($H$5:$H$304,259))),"")</f>
        <v/>
      </c>
      <c r="B263" s="13" t="str">
        <f aca="false">IFERROR(IF(INDEX(Inventory!B:B,SMALL($H$5:$H$304,259))="","",INDEX(Inventory!B:B,SMALL($H$5:$H$304,259))),"")</f>
        <v/>
      </c>
      <c r="C263" s="13" t="str">
        <f aca="false">IFERROR(IF(INDEX(Inventory!C:C,SMALL($H$5:$H$304,259))="","",INDEX(Inventory!C:C,SMALL($H$5:$H$304,259))),"")</f>
        <v/>
      </c>
      <c r="D263" s="13" t="str">
        <f aca="false">IFERROR(IF(INDEX(Inventory!D:D,SMALL($H$5:$H$304,259))="","",INDEX(Inventory!D:D,SMALL($H$5:$H$304,259))),"")</f>
        <v/>
      </c>
      <c r="E263" s="13" t="str">
        <f aca="false">IFERROR(IF(INDEX(Inventory!E:E,SMALL($H$5:$H$304,259))="","",INDEX(Inventory!E:E,SMALL($H$5:$H$304,259))),"")</f>
        <v/>
      </c>
      <c r="F263" s="13" t="str">
        <f aca="false">IFERROR(IF(INDEX(Inventory!F:F,SMALL($H$5:$H$304,259))="","",INDEX(Inventory!F:F,SMALL($H$5:$H$304,259))),"")</f>
        <v/>
      </c>
      <c r="G263" s="13" t="str">
        <f aca="false">IFERROR(IF(INDEX(Inventory!G:G,SMALL($H$5:$H$304,259))="","",INDEX(Inventory!G:G,SMALL($H$5:$H$304,259))),"")</f>
        <v/>
      </c>
      <c r="H263" s="1" t="str">
        <f aca="false">IF(Inventory!A261="","",IF(ISNUMBER(SEARCH($C$2,Inventory!A261)),ROW(Inventory!A261),""))</f>
        <v/>
      </c>
    </row>
    <row r="264" customFormat="false" ht="15" hidden="false" customHeight="false" outlineLevel="0" collapsed="false">
      <c r="A264" s="11" t="str">
        <f aca="false">IFERROR(IF(INDEX(Inventory!A:A,SMALL($H$5:$H$304,260))="","",INDEX(Inventory!A:A,SMALL($H$5:$H$304,260))),"")</f>
        <v/>
      </c>
      <c r="B264" s="11" t="str">
        <f aca="false">IFERROR(IF(INDEX(Inventory!B:B,SMALL($H$5:$H$304,260))="","",INDEX(Inventory!B:B,SMALL($H$5:$H$304,260))),"")</f>
        <v/>
      </c>
      <c r="C264" s="11" t="str">
        <f aca="false">IFERROR(IF(INDEX(Inventory!C:C,SMALL($H$5:$H$304,260))="","",INDEX(Inventory!C:C,SMALL($H$5:$H$304,260))),"")</f>
        <v/>
      </c>
      <c r="D264" s="11" t="str">
        <f aca="false">IFERROR(IF(INDEX(Inventory!D:D,SMALL($H$5:$H$304,260))="","",INDEX(Inventory!D:D,SMALL($H$5:$H$304,260))),"")</f>
        <v/>
      </c>
      <c r="E264" s="11" t="str">
        <f aca="false">IFERROR(IF(INDEX(Inventory!E:E,SMALL($H$5:$H$304,260))="","",INDEX(Inventory!E:E,SMALL($H$5:$H$304,260))),"")</f>
        <v/>
      </c>
      <c r="F264" s="11" t="str">
        <f aca="false">IFERROR(IF(INDEX(Inventory!F:F,SMALL($H$5:$H$304,260))="","",INDEX(Inventory!F:F,SMALL($H$5:$H$304,260))),"")</f>
        <v/>
      </c>
      <c r="G264" s="11" t="str">
        <f aca="false">IFERROR(IF(INDEX(Inventory!G:G,SMALL($H$5:$H$304,260))="","",INDEX(Inventory!G:G,SMALL($H$5:$H$304,260))),"")</f>
        <v/>
      </c>
      <c r="H264" s="1" t="str">
        <f aca="false">IF(Inventory!A262="","",IF(ISNUMBER(SEARCH($C$2,Inventory!A262)),ROW(Inventory!A262),""))</f>
        <v/>
      </c>
    </row>
    <row r="265" customFormat="false" ht="15" hidden="false" customHeight="false" outlineLevel="0" collapsed="false">
      <c r="A265" s="13" t="str">
        <f aca="false">IFERROR(IF(INDEX(Inventory!A:A,SMALL($H$5:$H$304,261))="","",INDEX(Inventory!A:A,SMALL($H$5:$H$304,261))),"")</f>
        <v/>
      </c>
      <c r="B265" s="13" t="str">
        <f aca="false">IFERROR(IF(INDEX(Inventory!B:B,SMALL($H$5:$H$304,261))="","",INDEX(Inventory!B:B,SMALL($H$5:$H$304,261))),"")</f>
        <v/>
      </c>
      <c r="C265" s="13" t="str">
        <f aca="false">IFERROR(IF(INDEX(Inventory!C:C,SMALL($H$5:$H$304,261))="","",INDEX(Inventory!C:C,SMALL($H$5:$H$304,261))),"")</f>
        <v/>
      </c>
      <c r="D265" s="13" t="str">
        <f aca="false">IFERROR(IF(INDEX(Inventory!D:D,SMALL($H$5:$H$304,261))="","",INDEX(Inventory!D:D,SMALL($H$5:$H$304,261))),"")</f>
        <v/>
      </c>
      <c r="E265" s="13" t="str">
        <f aca="false">IFERROR(IF(INDEX(Inventory!E:E,SMALL($H$5:$H$304,261))="","",INDEX(Inventory!E:E,SMALL($H$5:$H$304,261))),"")</f>
        <v/>
      </c>
      <c r="F265" s="13" t="str">
        <f aca="false">IFERROR(IF(INDEX(Inventory!F:F,SMALL($H$5:$H$304,261))="","",INDEX(Inventory!F:F,SMALL($H$5:$H$304,261))),"")</f>
        <v/>
      </c>
      <c r="G265" s="13" t="str">
        <f aca="false">IFERROR(IF(INDEX(Inventory!G:G,SMALL($H$5:$H$304,261))="","",INDEX(Inventory!G:G,SMALL($H$5:$H$304,261))),"")</f>
        <v/>
      </c>
      <c r="H265" s="1" t="str">
        <f aca="false">IF(Inventory!A263="","",IF(ISNUMBER(SEARCH($C$2,Inventory!A263)),ROW(Inventory!A263),""))</f>
        <v/>
      </c>
    </row>
    <row r="266" customFormat="false" ht="15" hidden="false" customHeight="false" outlineLevel="0" collapsed="false">
      <c r="A266" s="11" t="str">
        <f aca="false">IFERROR(IF(INDEX(Inventory!A:A,SMALL($H$5:$H$304,262))="","",INDEX(Inventory!A:A,SMALL($H$5:$H$304,262))),"")</f>
        <v/>
      </c>
      <c r="B266" s="11" t="str">
        <f aca="false">IFERROR(IF(INDEX(Inventory!B:B,SMALL($H$5:$H$304,262))="","",INDEX(Inventory!B:B,SMALL($H$5:$H$304,262))),"")</f>
        <v/>
      </c>
      <c r="C266" s="11" t="str">
        <f aca="false">IFERROR(IF(INDEX(Inventory!C:C,SMALL($H$5:$H$304,262))="","",INDEX(Inventory!C:C,SMALL($H$5:$H$304,262))),"")</f>
        <v/>
      </c>
      <c r="D266" s="11" t="str">
        <f aca="false">IFERROR(IF(INDEX(Inventory!D:D,SMALL($H$5:$H$304,262))="","",INDEX(Inventory!D:D,SMALL($H$5:$H$304,262))),"")</f>
        <v/>
      </c>
      <c r="E266" s="11" t="str">
        <f aca="false">IFERROR(IF(INDEX(Inventory!E:E,SMALL($H$5:$H$304,262))="","",INDEX(Inventory!E:E,SMALL($H$5:$H$304,262))),"")</f>
        <v/>
      </c>
      <c r="F266" s="11" t="str">
        <f aca="false">IFERROR(IF(INDEX(Inventory!F:F,SMALL($H$5:$H$304,262))="","",INDEX(Inventory!F:F,SMALL($H$5:$H$304,262))),"")</f>
        <v/>
      </c>
      <c r="G266" s="11" t="str">
        <f aca="false">IFERROR(IF(INDEX(Inventory!G:G,SMALL($H$5:$H$304,262))="","",INDEX(Inventory!G:G,SMALL($H$5:$H$304,262))),"")</f>
        <v/>
      </c>
      <c r="H266" s="1" t="str">
        <f aca="false">IF(Inventory!A264="","",IF(ISNUMBER(SEARCH($C$2,Inventory!A264)),ROW(Inventory!A264),""))</f>
        <v/>
      </c>
    </row>
    <row r="267" customFormat="false" ht="15" hidden="false" customHeight="false" outlineLevel="0" collapsed="false">
      <c r="A267" s="13" t="str">
        <f aca="false">IFERROR(IF(INDEX(Inventory!A:A,SMALL($H$5:$H$304,263))="","",INDEX(Inventory!A:A,SMALL($H$5:$H$304,263))),"")</f>
        <v/>
      </c>
      <c r="B267" s="13" t="str">
        <f aca="false">IFERROR(IF(INDEX(Inventory!B:B,SMALL($H$5:$H$304,263))="","",INDEX(Inventory!B:B,SMALL($H$5:$H$304,263))),"")</f>
        <v/>
      </c>
      <c r="C267" s="13" t="str">
        <f aca="false">IFERROR(IF(INDEX(Inventory!C:C,SMALL($H$5:$H$304,263))="","",INDEX(Inventory!C:C,SMALL($H$5:$H$304,263))),"")</f>
        <v/>
      </c>
      <c r="D267" s="13" t="str">
        <f aca="false">IFERROR(IF(INDEX(Inventory!D:D,SMALL($H$5:$H$304,263))="","",INDEX(Inventory!D:D,SMALL($H$5:$H$304,263))),"")</f>
        <v/>
      </c>
      <c r="E267" s="13" t="str">
        <f aca="false">IFERROR(IF(INDEX(Inventory!E:E,SMALL($H$5:$H$304,263))="","",INDEX(Inventory!E:E,SMALL($H$5:$H$304,263))),"")</f>
        <v/>
      </c>
      <c r="F267" s="13" t="str">
        <f aca="false">IFERROR(IF(INDEX(Inventory!F:F,SMALL($H$5:$H$304,263))="","",INDEX(Inventory!F:F,SMALL($H$5:$H$304,263))),"")</f>
        <v/>
      </c>
      <c r="G267" s="13" t="str">
        <f aca="false">IFERROR(IF(INDEX(Inventory!G:G,SMALL($H$5:$H$304,263))="","",INDEX(Inventory!G:G,SMALL($H$5:$H$304,263))),"")</f>
        <v/>
      </c>
      <c r="H267" s="1" t="str">
        <f aca="false">IF(Inventory!A265="","",IF(ISNUMBER(SEARCH($C$2,Inventory!A265)),ROW(Inventory!A265),""))</f>
        <v/>
      </c>
    </row>
    <row r="268" customFormat="false" ht="15" hidden="false" customHeight="false" outlineLevel="0" collapsed="false">
      <c r="A268" s="11" t="str">
        <f aca="false">IFERROR(IF(INDEX(Inventory!A:A,SMALL($H$5:$H$304,264))="","",INDEX(Inventory!A:A,SMALL($H$5:$H$304,264))),"")</f>
        <v/>
      </c>
      <c r="B268" s="11" t="str">
        <f aca="false">IFERROR(IF(INDEX(Inventory!B:B,SMALL($H$5:$H$304,264))="","",INDEX(Inventory!B:B,SMALL($H$5:$H$304,264))),"")</f>
        <v/>
      </c>
      <c r="C268" s="11" t="str">
        <f aca="false">IFERROR(IF(INDEX(Inventory!C:C,SMALL($H$5:$H$304,264))="","",INDEX(Inventory!C:C,SMALL($H$5:$H$304,264))),"")</f>
        <v/>
      </c>
      <c r="D268" s="11" t="str">
        <f aca="false">IFERROR(IF(INDEX(Inventory!D:D,SMALL($H$5:$H$304,264))="","",INDEX(Inventory!D:D,SMALL($H$5:$H$304,264))),"")</f>
        <v/>
      </c>
      <c r="E268" s="11" t="str">
        <f aca="false">IFERROR(IF(INDEX(Inventory!E:E,SMALL($H$5:$H$304,264))="","",INDEX(Inventory!E:E,SMALL($H$5:$H$304,264))),"")</f>
        <v/>
      </c>
      <c r="F268" s="11" t="str">
        <f aca="false">IFERROR(IF(INDEX(Inventory!F:F,SMALL($H$5:$H$304,264))="","",INDEX(Inventory!F:F,SMALL($H$5:$H$304,264))),"")</f>
        <v/>
      </c>
      <c r="G268" s="11" t="str">
        <f aca="false">IFERROR(IF(INDEX(Inventory!G:G,SMALL($H$5:$H$304,264))="","",INDEX(Inventory!G:G,SMALL($H$5:$H$304,264))),"")</f>
        <v/>
      </c>
      <c r="H268" s="1" t="str">
        <f aca="false">IF(Inventory!A266="","",IF(ISNUMBER(SEARCH($C$2,Inventory!A266)),ROW(Inventory!A266),""))</f>
        <v/>
      </c>
    </row>
    <row r="269" customFormat="false" ht="15" hidden="false" customHeight="false" outlineLevel="0" collapsed="false">
      <c r="A269" s="13" t="str">
        <f aca="false">IFERROR(IF(INDEX(Inventory!A:A,SMALL($H$5:$H$304,265))="","",INDEX(Inventory!A:A,SMALL($H$5:$H$304,265))),"")</f>
        <v/>
      </c>
      <c r="B269" s="13" t="str">
        <f aca="false">IFERROR(IF(INDEX(Inventory!B:B,SMALL($H$5:$H$304,265))="","",INDEX(Inventory!B:B,SMALL($H$5:$H$304,265))),"")</f>
        <v/>
      </c>
      <c r="C269" s="13" t="str">
        <f aca="false">IFERROR(IF(INDEX(Inventory!C:C,SMALL($H$5:$H$304,265))="","",INDEX(Inventory!C:C,SMALL($H$5:$H$304,265))),"")</f>
        <v/>
      </c>
      <c r="D269" s="13" t="str">
        <f aca="false">IFERROR(IF(INDEX(Inventory!D:D,SMALL($H$5:$H$304,265))="","",INDEX(Inventory!D:D,SMALL($H$5:$H$304,265))),"")</f>
        <v/>
      </c>
      <c r="E269" s="13" t="str">
        <f aca="false">IFERROR(IF(INDEX(Inventory!E:E,SMALL($H$5:$H$304,265))="","",INDEX(Inventory!E:E,SMALL($H$5:$H$304,265))),"")</f>
        <v/>
      </c>
      <c r="F269" s="13" t="str">
        <f aca="false">IFERROR(IF(INDEX(Inventory!F:F,SMALL($H$5:$H$304,265))="","",INDEX(Inventory!F:F,SMALL($H$5:$H$304,265))),"")</f>
        <v/>
      </c>
      <c r="G269" s="13" t="str">
        <f aca="false">IFERROR(IF(INDEX(Inventory!G:G,SMALL($H$5:$H$304,265))="","",INDEX(Inventory!G:G,SMALL($H$5:$H$304,265))),"")</f>
        <v/>
      </c>
      <c r="H269" s="1" t="str">
        <f aca="false">IF(Inventory!A267="","",IF(ISNUMBER(SEARCH($C$2,Inventory!A267)),ROW(Inventory!A267),""))</f>
        <v/>
      </c>
    </row>
    <row r="270" customFormat="false" ht="15" hidden="false" customHeight="false" outlineLevel="0" collapsed="false">
      <c r="A270" s="11" t="str">
        <f aca="false">IFERROR(IF(INDEX(Inventory!A:A,SMALL($H$5:$H$304,266))="","",INDEX(Inventory!A:A,SMALL($H$5:$H$304,266))),"")</f>
        <v/>
      </c>
      <c r="B270" s="11" t="str">
        <f aca="false">IFERROR(IF(INDEX(Inventory!B:B,SMALL($H$5:$H$304,266))="","",INDEX(Inventory!B:B,SMALL($H$5:$H$304,266))),"")</f>
        <v/>
      </c>
      <c r="C270" s="11" t="str">
        <f aca="false">IFERROR(IF(INDEX(Inventory!C:C,SMALL($H$5:$H$304,266))="","",INDEX(Inventory!C:C,SMALL($H$5:$H$304,266))),"")</f>
        <v/>
      </c>
      <c r="D270" s="11" t="str">
        <f aca="false">IFERROR(IF(INDEX(Inventory!D:D,SMALL($H$5:$H$304,266))="","",INDEX(Inventory!D:D,SMALL($H$5:$H$304,266))),"")</f>
        <v/>
      </c>
      <c r="E270" s="11" t="str">
        <f aca="false">IFERROR(IF(INDEX(Inventory!E:E,SMALL($H$5:$H$304,266))="","",INDEX(Inventory!E:E,SMALL($H$5:$H$304,266))),"")</f>
        <v/>
      </c>
      <c r="F270" s="11" t="str">
        <f aca="false">IFERROR(IF(INDEX(Inventory!F:F,SMALL($H$5:$H$304,266))="","",INDEX(Inventory!F:F,SMALL($H$5:$H$304,266))),"")</f>
        <v/>
      </c>
      <c r="G270" s="11" t="str">
        <f aca="false">IFERROR(IF(INDEX(Inventory!G:G,SMALL($H$5:$H$304,266))="","",INDEX(Inventory!G:G,SMALL($H$5:$H$304,266))),"")</f>
        <v/>
      </c>
      <c r="H270" s="1" t="str">
        <f aca="false">IF(Inventory!A268="","",IF(ISNUMBER(SEARCH($C$2,Inventory!A268)),ROW(Inventory!A268),""))</f>
        <v/>
      </c>
    </row>
    <row r="271" customFormat="false" ht="15" hidden="false" customHeight="false" outlineLevel="0" collapsed="false">
      <c r="A271" s="13" t="str">
        <f aca="false">IFERROR(IF(INDEX(Inventory!A:A,SMALL($H$5:$H$304,267))="","",INDEX(Inventory!A:A,SMALL($H$5:$H$304,267))),"")</f>
        <v/>
      </c>
      <c r="B271" s="13" t="str">
        <f aca="false">IFERROR(IF(INDEX(Inventory!B:B,SMALL($H$5:$H$304,267))="","",INDEX(Inventory!B:B,SMALL($H$5:$H$304,267))),"")</f>
        <v/>
      </c>
      <c r="C271" s="13" t="str">
        <f aca="false">IFERROR(IF(INDEX(Inventory!C:C,SMALL($H$5:$H$304,267))="","",INDEX(Inventory!C:C,SMALL($H$5:$H$304,267))),"")</f>
        <v/>
      </c>
      <c r="D271" s="13" t="str">
        <f aca="false">IFERROR(IF(INDEX(Inventory!D:D,SMALL($H$5:$H$304,267))="","",INDEX(Inventory!D:D,SMALL($H$5:$H$304,267))),"")</f>
        <v/>
      </c>
      <c r="E271" s="13" t="str">
        <f aca="false">IFERROR(IF(INDEX(Inventory!E:E,SMALL($H$5:$H$304,267))="","",INDEX(Inventory!E:E,SMALL($H$5:$H$304,267))),"")</f>
        <v/>
      </c>
      <c r="F271" s="13" t="str">
        <f aca="false">IFERROR(IF(INDEX(Inventory!F:F,SMALL($H$5:$H$304,267))="","",INDEX(Inventory!F:F,SMALL($H$5:$H$304,267))),"")</f>
        <v/>
      </c>
      <c r="G271" s="13" t="str">
        <f aca="false">IFERROR(IF(INDEX(Inventory!G:G,SMALL($H$5:$H$304,267))="","",INDEX(Inventory!G:G,SMALL($H$5:$H$304,267))),"")</f>
        <v/>
      </c>
      <c r="H271" s="1" t="str">
        <f aca="false">IF(Inventory!A269="","",IF(ISNUMBER(SEARCH($C$2,Inventory!A269)),ROW(Inventory!A269),""))</f>
        <v/>
      </c>
    </row>
    <row r="272" customFormat="false" ht="15" hidden="false" customHeight="false" outlineLevel="0" collapsed="false">
      <c r="A272" s="11" t="str">
        <f aca="false">IFERROR(IF(INDEX(Inventory!A:A,SMALL($H$5:$H$304,268))="","",INDEX(Inventory!A:A,SMALL($H$5:$H$304,268))),"")</f>
        <v/>
      </c>
      <c r="B272" s="11" t="str">
        <f aca="false">IFERROR(IF(INDEX(Inventory!B:B,SMALL($H$5:$H$304,268))="","",INDEX(Inventory!B:B,SMALL($H$5:$H$304,268))),"")</f>
        <v/>
      </c>
      <c r="C272" s="11" t="str">
        <f aca="false">IFERROR(IF(INDEX(Inventory!C:C,SMALL($H$5:$H$304,268))="","",INDEX(Inventory!C:C,SMALL($H$5:$H$304,268))),"")</f>
        <v/>
      </c>
      <c r="D272" s="11" t="str">
        <f aca="false">IFERROR(IF(INDEX(Inventory!D:D,SMALL($H$5:$H$304,268))="","",INDEX(Inventory!D:D,SMALL($H$5:$H$304,268))),"")</f>
        <v/>
      </c>
      <c r="E272" s="11" t="str">
        <f aca="false">IFERROR(IF(INDEX(Inventory!E:E,SMALL($H$5:$H$304,268))="","",INDEX(Inventory!E:E,SMALL($H$5:$H$304,268))),"")</f>
        <v/>
      </c>
      <c r="F272" s="11" t="str">
        <f aca="false">IFERROR(IF(INDEX(Inventory!F:F,SMALL($H$5:$H$304,268))="","",INDEX(Inventory!F:F,SMALL($H$5:$H$304,268))),"")</f>
        <v/>
      </c>
      <c r="G272" s="11" t="str">
        <f aca="false">IFERROR(IF(INDEX(Inventory!G:G,SMALL($H$5:$H$304,268))="","",INDEX(Inventory!G:G,SMALL($H$5:$H$304,268))),"")</f>
        <v/>
      </c>
      <c r="H272" s="1" t="str">
        <f aca="false">IF(Inventory!A270="","",IF(ISNUMBER(SEARCH($C$2,Inventory!A270)),ROW(Inventory!A270),""))</f>
        <v/>
      </c>
    </row>
    <row r="273" customFormat="false" ht="15" hidden="false" customHeight="false" outlineLevel="0" collapsed="false">
      <c r="A273" s="13" t="str">
        <f aca="false">IFERROR(IF(INDEX(Inventory!A:A,SMALL($H$5:$H$304,269))="","",INDEX(Inventory!A:A,SMALL($H$5:$H$304,269))),"")</f>
        <v/>
      </c>
      <c r="B273" s="13" t="str">
        <f aca="false">IFERROR(IF(INDEX(Inventory!B:B,SMALL($H$5:$H$304,269))="","",INDEX(Inventory!B:B,SMALL($H$5:$H$304,269))),"")</f>
        <v/>
      </c>
      <c r="C273" s="13" t="str">
        <f aca="false">IFERROR(IF(INDEX(Inventory!C:C,SMALL($H$5:$H$304,269))="","",INDEX(Inventory!C:C,SMALL($H$5:$H$304,269))),"")</f>
        <v/>
      </c>
      <c r="D273" s="13" t="str">
        <f aca="false">IFERROR(IF(INDEX(Inventory!D:D,SMALL($H$5:$H$304,269))="","",INDEX(Inventory!D:D,SMALL($H$5:$H$304,269))),"")</f>
        <v/>
      </c>
      <c r="E273" s="13" t="str">
        <f aca="false">IFERROR(IF(INDEX(Inventory!E:E,SMALL($H$5:$H$304,269))="","",INDEX(Inventory!E:E,SMALL($H$5:$H$304,269))),"")</f>
        <v/>
      </c>
      <c r="F273" s="13" t="str">
        <f aca="false">IFERROR(IF(INDEX(Inventory!F:F,SMALL($H$5:$H$304,269))="","",INDEX(Inventory!F:F,SMALL($H$5:$H$304,269))),"")</f>
        <v/>
      </c>
      <c r="G273" s="13" t="str">
        <f aca="false">IFERROR(IF(INDEX(Inventory!G:G,SMALL($H$5:$H$304,269))="","",INDEX(Inventory!G:G,SMALL($H$5:$H$304,269))),"")</f>
        <v/>
      </c>
      <c r="H273" s="1" t="str">
        <f aca="false">IF(Inventory!A271="","",IF(ISNUMBER(SEARCH($C$2,Inventory!A271)),ROW(Inventory!A271),""))</f>
        <v/>
      </c>
    </row>
    <row r="274" customFormat="false" ht="15" hidden="false" customHeight="false" outlineLevel="0" collapsed="false">
      <c r="A274" s="11" t="str">
        <f aca="false">IFERROR(IF(INDEX(Inventory!A:A,SMALL($H$5:$H$304,270))="","",INDEX(Inventory!A:A,SMALL($H$5:$H$304,270))),"")</f>
        <v/>
      </c>
      <c r="B274" s="11" t="str">
        <f aca="false">IFERROR(IF(INDEX(Inventory!B:B,SMALL($H$5:$H$304,270))="","",INDEX(Inventory!B:B,SMALL($H$5:$H$304,270))),"")</f>
        <v/>
      </c>
      <c r="C274" s="11" t="str">
        <f aca="false">IFERROR(IF(INDEX(Inventory!C:C,SMALL($H$5:$H$304,270))="","",INDEX(Inventory!C:C,SMALL($H$5:$H$304,270))),"")</f>
        <v/>
      </c>
      <c r="D274" s="11" t="str">
        <f aca="false">IFERROR(IF(INDEX(Inventory!D:D,SMALL($H$5:$H$304,270))="","",INDEX(Inventory!D:D,SMALL($H$5:$H$304,270))),"")</f>
        <v/>
      </c>
      <c r="E274" s="11" t="str">
        <f aca="false">IFERROR(IF(INDEX(Inventory!E:E,SMALL($H$5:$H$304,270))="","",INDEX(Inventory!E:E,SMALL($H$5:$H$304,270))),"")</f>
        <v/>
      </c>
      <c r="F274" s="11" t="str">
        <f aca="false">IFERROR(IF(INDEX(Inventory!F:F,SMALL($H$5:$H$304,270))="","",INDEX(Inventory!F:F,SMALL($H$5:$H$304,270))),"")</f>
        <v/>
      </c>
      <c r="G274" s="11" t="str">
        <f aca="false">IFERROR(IF(INDEX(Inventory!G:G,SMALL($H$5:$H$304,270))="","",INDEX(Inventory!G:G,SMALL($H$5:$H$304,270))),"")</f>
        <v/>
      </c>
      <c r="H274" s="1" t="str">
        <f aca="false">IF(Inventory!A272="","",IF(ISNUMBER(SEARCH($C$2,Inventory!A272)),ROW(Inventory!A272),""))</f>
        <v/>
      </c>
    </row>
    <row r="275" customFormat="false" ht="15" hidden="false" customHeight="false" outlineLevel="0" collapsed="false">
      <c r="A275" s="13" t="str">
        <f aca="false">IFERROR(IF(INDEX(Inventory!A:A,SMALL($H$5:$H$304,271))="","",INDEX(Inventory!A:A,SMALL($H$5:$H$304,271))),"")</f>
        <v/>
      </c>
      <c r="B275" s="13" t="str">
        <f aca="false">IFERROR(IF(INDEX(Inventory!B:B,SMALL($H$5:$H$304,271))="","",INDEX(Inventory!B:B,SMALL($H$5:$H$304,271))),"")</f>
        <v/>
      </c>
      <c r="C275" s="13" t="str">
        <f aca="false">IFERROR(IF(INDEX(Inventory!C:C,SMALL($H$5:$H$304,271))="","",INDEX(Inventory!C:C,SMALL($H$5:$H$304,271))),"")</f>
        <v/>
      </c>
      <c r="D275" s="13" t="str">
        <f aca="false">IFERROR(IF(INDEX(Inventory!D:D,SMALL($H$5:$H$304,271))="","",INDEX(Inventory!D:D,SMALL($H$5:$H$304,271))),"")</f>
        <v/>
      </c>
      <c r="E275" s="13" t="str">
        <f aca="false">IFERROR(IF(INDEX(Inventory!E:E,SMALL($H$5:$H$304,271))="","",INDEX(Inventory!E:E,SMALL($H$5:$H$304,271))),"")</f>
        <v/>
      </c>
      <c r="F275" s="13" t="str">
        <f aca="false">IFERROR(IF(INDEX(Inventory!F:F,SMALL($H$5:$H$304,271))="","",INDEX(Inventory!F:F,SMALL($H$5:$H$304,271))),"")</f>
        <v/>
      </c>
      <c r="G275" s="13" t="str">
        <f aca="false">IFERROR(IF(INDEX(Inventory!G:G,SMALL($H$5:$H$304,271))="","",INDEX(Inventory!G:G,SMALL($H$5:$H$304,271))),"")</f>
        <v/>
      </c>
      <c r="H275" s="1" t="str">
        <f aca="false">IF(Inventory!A273="","",IF(ISNUMBER(SEARCH($C$2,Inventory!A273)),ROW(Inventory!A273),""))</f>
        <v/>
      </c>
    </row>
    <row r="276" customFormat="false" ht="15" hidden="false" customHeight="false" outlineLevel="0" collapsed="false">
      <c r="A276" s="11" t="str">
        <f aca="false">IFERROR(IF(INDEX(Inventory!A:A,SMALL($H$5:$H$304,272))="","",INDEX(Inventory!A:A,SMALL($H$5:$H$304,272))),"")</f>
        <v/>
      </c>
      <c r="B276" s="11" t="str">
        <f aca="false">IFERROR(IF(INDEX(Inventory!B:B,SMALL($H$5:$H$304,272))="","",INDEX(Inventory!B:B,SMALL($H$5:$H$304,272))),"")</f>
        <v/>
      </c>
      <c r="C276" s="11" t="str">
        <f aca="false">IFERROR(IF(INDEX(Inventory!C:C,SMALL($H$5:$H$304,272))="","",INDEX(Inventory!C:C,SMALL($H$5:$H$304,272))),"")</f>
        <v/>
      </c>
      <c r="D276" s="11" t="str">
        <f aca="false">IFERROR(IF(INDEX(Inventory!D:D,SMALL($H$5:$H$304,272))="","",INDEX(Inventory!D:D,SMALL($H$5:$H$304,272))),"")</f>
        <v/>
      </c>
      <c r="E276" s="11" t="str">
        <f aca="false">IFERROR(IF(INDEX(Inventory!E:E,SMALL($H$5:$H$304,272))="","",INDEX(Inventory!E:E,SMALL($H$5:$H$304,272))),"")</f>
        <v/>
      </c>
      <c r="F276" s="11" t="str">
        <f aca="false">IFERROR(IF(INDEX(Inventory!F:F,SMALL($H$5:$H$304,272))="","",INDEX(Inventory!F:F,SMALL($H$5:$H$304,272))),"")</f>
        <v/>
      </c>
      <c r="G276" s="11" t="str">
        <f aca="false">IFERROR(IF(INDEX(Inventory!G:G,SMALL($H$5:$H$304,272))="","",INDEX(Inventory!G:G,SMALL($H$5:$H$304,272))),"")</f>
        <v/>
      </c>
      <c r="H276" s="1" t="str">
        <f aca="false">IF(Inventory!A274="","",IF(ISNUMBER(SEARCH($C$2,Inventory!A274)),ROW(Inventory!A274),""))</f>
        <v/>
      </c>
    </row>
    <row r="277" customFormat="false" ht="15" hidden="false" customHeight="false" outlineLevel="0" collapsed="false">
      <c r="A277" s="13" t="str">
        <f aca="false">IFERROR(IF(INDEX(Inventory!A:A,SMALL($H$5:$H$304,273))="","",INDEX(Inventory!A:A,SMALL($H$5:$H$304,273))),"")</f>
        <v/>
      </c>
      <c r="B277" s="13" t="str">
        <f aca="false">IFERROR(IF(INDEX(Inventory!B:B,SMALL($H$5:$H$304,273))="","",INDEX(Inventory!B:B,SMALL($H$5:$H$304,273))),"")</f>
        <v/>
      </c>
      <c r="C277" s="13" t="str">
        <f aca="false">IFERROR(IF(INDEX(Inventory!C:C,SMALL($H$5:$H$304,273))="","",INDEX(Inventory!C:C,SMALL($H$5:$H$304,273))),"")</f>
        <v/>
      </c>
      <c r="D277" s="13" t="str">
        <f aca="false">IFERROR(IF(INDEX(Inventory!D:D,SMALL($H$5:$H$304,273))="","",INDEX(Inventory!D:D,SMALL($H$5:$H$304,273))),"")</f>
        <v/>
      </c>
      <c r="E277" s="13" t="str">
        <f aca="false">IFERROR(IF(INDEX(Inventory!E:E,SMALL($H$5:$H$304,273))="","",INDEX(Inventory!E:E,SMALL($H$5:$H$304,273))),"")</f>
        <v/>
      </c>
      <c r="F277" s="13" t="str">
        <f aca="false">IFERROR(IF(INDEX(Inventory!F:F,SMALL($H$5:$H$304,273))="","",INDEX(Inventory!F:F,SMALL($H$5:$H$304,273))),"")</f>
        <v/>
      </c>
      <c r="G277" s="13" t="str">
        <f aca="false">IFERROR(IF(INDEX(Inventory!G:G,SMALL($H$5:$H$304,273))="","",INDEX(Inventory!G:G,SMALL($H$5:$H$304,273))),"")</f>
        <v/>
      </c>
      <c r="H277" s="1" t="str">
        <f aca="false">IF(Inventory!A275="","",IF(ISNUMBER(SEARCH($C$2,Inventory!A275)),ROW(Inventory!A275),""))</f>
        <v/>
      </c>
    </row>
    <row r="278" customFormat="false" ht="15" hidden="false" customHeight="false" outlineLevel="0" collapsed="false">
      <c r="A278" s="11" t="str">
        <f aca="false">IFERROR(IF(INDEX(Inventory!A:A,SMALL($H$5:$H$304,274))="","",INDEX(Inventory!A:A,SMALL($H$5:$H$304,274))),"")</f>
        <v/>
      </c>
      <c r="B278" s="11" t="str">
        <f aca="false">IFERROR(IF(INDEX(Inventory!B:B,SMALL($H$5:$H$304,274))="","",INDEX(Inventory!B:B,SMALL($H$5:$H$304,274))),"")</f>
        <v/>
      </c>
      <c r="C278" s="11" t="str">
        <f aca="false">IFERROR(IF(INDEX(Inventory!C:C,SMALL($H$5:$H$304,274))="","",INDEX(Inventory!C:C,SMALL($H$5:$H$304,274))),"")</f>
        <v/>
      </c>
      <c r="D278" s="11" t="str">
        <f aca="false">IFERROR(IF(INDEX(Inventory!D:D,SMALL($H$5:$H$304,274))="","",INDEX(Inventory!D:D,SMALL($H$5:$H$304,274))),"")</f>
        <v/>
      </c>
      <c r="E278" s="11" t="str">
        <f aca="false">IFERROR(IF(INDEX(Inventory!E:E,SMALL($H$5:$H$304,274))="","",INDEX(Inventory!E:E,SMALL($H$5:$H$304,274))),"")</f>
        <v/>
      </c>
      <c r="F278" s="11" t="str">
        <f aca="false">IFERROR(IF(INDEX(Inventory!F:F,SMALL($H$5:$H$304,274))="","",INDEX(Inventory!F:F,SMALL($H$5:$H$304,274))),"")</f>
        <v/>
      </c>
      <c r="G278" s="11" t="str">
        <f aca="false">IFERROR(IF(INDEX(Inventory!G:G,SMALL($H$5:$H$304,274))="","",INDEX(Inventory!G:G,SMALL($H$5:$H$304,274))),"")</f>
        <v/>
      </c>
      <c r="H278" s="1" t="str">
        <f aca="false">IF(Inventory!A276="","",IF(ISNUMBER(SEARCH($C$2,Inventory!A276)),ROW(Inventory!A276),""))</f>
        <v/>
      </c>
    </row>
    <row r="279" customFormat="false" ht="15" hidden="false" customHeight="false" outlineLevel="0" collapsed="false">
      <c r="A279" s="13" t="str">
        <f aca="false">IFERROR(IF(INDEX(Inventory!A:A,SMALL($H$5:$H$304,275))="","",INDEX(Inventory!A:A,SMALL($H$5:$H$304,275))),"")</f>
        <v/>
      </c>
      <c r="B279" s="13" t="str">
        <f aca="false">IFERROR(IF(INDEX(Inventory!B:B,SMALL($H$5:$H$304,275))="","",INDEX(Inventory!B:B,SMALL($H$5:$H$304,275))),"")</f>
        <v/>
      </c>
      <c r="C279" s="13" t="str">
        <f aca="false">IFERROR(IF(INDEX(Inventory!C:C,SMALL($H$5:$H$304,275))="","",INDEX(Inventory!C:C,SMALL($H$5:$H$304,275))),"")</f>
        <v/>
      </c>
      <c r="D279" s="13" t="str">
        <f aca="false">IFERROR(IF(INDEX(Inventory!D:D,SMALL($H$5:$H$304,275))="","",INDEX(Inventory!D:D,SMALL($H$5:$H$304,275))),"")</f>
        <v/>
      </c>
      <c r="E279" s="13" t="str">
        <f aca="false">IFERROR(IF(INDEX(Inventory!E:E,SMALL($H$5:$H$304,275))="","",INDEX(Inventory!E:E,SMALL($H$5:$H$304,275))),"")</f>
        <v/>
      </c>
      <c r="F279" s="13" t="str">
        <f aca="false">IFERROR(IF(INDEX(Inventory!F:F,SMALL($H$5:$H$304,275))="","",INDEX(Inventory!F:F,SMALL($H$5:$H$304,275))),"")</f>
        <v/>
      </c>
      <c r="G279" s="13" t="str">
        <f aca="false">IFERROR(IF(INDEX(Inventory!G:G,SMALL($H$5:$H$304,275))="","",INDEX(Inventory!G:G,SMALL($H$5:$H$304,275))),"")</f>
        <v/>
      </c>
      <c r="H279" s="1" t="str">
        <f aca="false">IF(Inventory!A277="","",IF(ISNUMBER(SEARCH($C$2,Inventory!A277)),ROW(Inventory!A277),""))</f>
        <v/>
      </c>
    </row>
    <row r="280" customFormat="false" ht="15" hidden="false" customHeight="false" outlineLevel="0" collapsed="false">
      <c r="A280" s="11" t="str">
        <f aca="false">IFERROR(IF(INDEX(Inventory!A:A,SMALL($H$5:$H$304,276))="","",INDEX(Inventory!A:A,SMALL($H$5:$H$304,276))),"")</f>
        <v/>
      </c>
      <c r="B280" s="11" t="str">
        <f aca="false">IFERROR(IF(INDEX(Inventory!B:B,SMALL($H$5:$H$304,276))="","",INDEX(Inventory!B:B,SMALL($H$5:$H$304,276))),"")</f>
        <v/>
      </c>
      <c r="C280" s="11" t="str">
        <f aca="false">IFERROR(IF(INDEX(Inventory!C:C,SMALL($H$5:$H$304,276))="","",INDEX(Inventory!C:C,SMALL($H$5:$H$304,276))),"")</f>
        <v/>
      </c>
      <c r="D280" s="11" t="str">
        <f aca="false">IFERROR(IF(INDEX(Inventory!D:D,SMALL($H$5:$H$304,276))="","",INDEX(Inventory!D:D,SMALL($H$5:$H$304,276))),"")</f>
        <v/>
      </c>
      <c r="E280" s="11" t="str">
        <f aca="false">IFERROR(IF(INDEX(Inventory!E:E,SMALL($H$5:$H$304,276))="","",INDEX(Inventory!E:E,SMALL($H$5:$H$304,276))),"")</f>
        <v/>
      </c>
      <c r="F280" s="11" t="str">
        <f aca="false">IFERROR(IF(INDEX(Inventory!F:F,SMALL($H$5:$H$304,276))="","",INDEX(Inventory!F:F,SMALL($H$5:$H$304,276))),"")</f>
        <v/>
      </c>
      <c r="G280" s="11" t="str">
        <f aca="false">IFERROR(IF(INDEX(Inventory!G:G,SMALL($H$5:$H$304,276))="","",INDEX(Inventory!G:G,SMALL($H$5:$H$304,276))),"")</f>
        <v/>
      </c>
      <c r="H280" s="1" t="str">
        <f aca="false">IF(Inventory!A278="","",IF(ISNUMBER(SEARCH($C$2,Inventory!A278)),ROW(Inventory!A278),""))</f>
        <v/>
      </c>
    </row>
    <row r="281" customFormat="false" ht="15" hidden="false" customHeight="false" outlineLevel="0" collapsed="false">
      <c r="A281" s="13" t="str">
        <f aca="false">IFERROR(IF(INDEX(Inventory!A:A,SMALL($H$5:$H$304,277))="","",INDEX(Inventory!A:A,SMALL($H$5:$H$304,277))),"")</f>
        <v/>
      </c>
      <c r="B281" s="13" t="str">
        <f aca="false">IFERROR(IF(INDEX(Inventory!B:B,SMALL($H$5:$H$304,277))="","",INDEX(Inventory!B:B,SMALL($H$5:$H$304,277))),"")</f>
        <v/>
      </c>
      <c r="C281" s="13" t="str">
        <f aca="false">IFERROR(IF(INDEX(Inventory!C:C,SMALL($H$5:$H$304,277))="","",INDEX(Inventory!C:C,SMALL($H$5:$H$304,277))),"")</f>
        <v/>
      </c>
      <c r="D281" s="13" t="str">
        <f aca="false">IFERROR(IF(INDEX(Inventory!D:D,SMALL($H$5:$H$304,277))="","",INDEX(Inventory!D:D,SMALL($H$5:$H$304,277))),"")</f>
        <v/>
      </c>
      <c r="E281" s="13" t="str">
        <f aca="false">IFERROR(IF(INDEX(Inventory!E:E,SMALL($H$5:$H$304,277))="","",INDEX(Inventory!E:E,SMALL($H$5:$H$304,277))),"")</f>
        <v/>
      </c>
      <c r="F281" s="13" t="str">
        <f aca="false">IFERROR(IF(INDEX(Inventory!F:F,SMALL($H$5:$H$304,277))="","",INDEX(Inventory!F:F,SMALL($H$5:$H$304,277))),"")</f>
        <v/>
      </c>
      <c r="G281" s="13" t="str">
        <f aca="false">IFERROR(IF(INDEX(Inventory!G:G,SMALL($H$5:$H$304,277))="","",INDEX(Inventory!G:G,SMALL($H$5:$H$304,277))),"")</f>
        <v/>
      </c>
      <c r="H281" s="1" t="str">
        <f aca="false">IF(Inventory!A279="","",IF(ISNUMBER(SEARCH($C$2,Inventory!A279)),ROW(Inventory!A279),""))</f>
        <v/>
      </c>
    </row>
    <row r="282" customFormat="false" ht="15" hidden="false" customHeight="false" outlineLevel="0" collapsed="false">
      <c r="A282" s="11" t="str">
        <f aca="false">IFERROR(IF(INDEX(Inventory!A:A,SMALL($H$5:$H$304,278))="","",INDEX(Inventory!A:A,SMALL($H$5:$H$304,278))),"")</f>
        <v/>
      </c>
      <c r="B282" s="11" t="str">
        <f aca="false">IFERROR(IF(INDEX(Inventory!B:B,SMALL($H$5:$H$304,278))="","",INDEX(Inventory!B:B,SMALL($H$5:$H$304,278))),"")</f>
        <v/>
      </c>
      <c r="C282" s="11" t="str">
        <f aca="false">IFERROR(IF(INDEX(Inventory!C:C,SMALL($H$5:$H$304,278))="","",INDEX(Inventory!C:C,SMALL($H$5:$H$304,278))),"")</f>
        <v/>
      </c>
      <c r="D282" s="11" t="str">
        <f aca="false">IFERROR(IF(INDEX(Inventory!D:D,SMALL($H$5:$H$304,278))="","",INDEX(Inventory!D:D,SMALL($H$5:$H$304,278))),"")</f>
        <v/>
      </c>
      <c r="E282" s="11" t="str">
        <f aca="false">IFERROR(IF(INDEX(Inventory!E:E,SMALL($H$5:$H$304,278))="","",INDEX(Inventory!E:E,SMALL($H$5:$H$304,278))),"")</f>
        <v/>
      </c>
      <c r="F282" s="11" t="str">
        <f aca="false">IFERROR(IF(INDEX(Inventory!F:F,SMALL($H$5:$H$304,278))="","",INDEX(Inventory!F:F,SMALL($H$5:$H$304,278))),"")</f>
        <v/>
      </c>
      <c r="G282" s="11" t="str">
        <f aca="false">IFERROR(IF(INDEX(Inventory!G:G,SMALL($H$5:$H$304,278))="","",INDEX(Inventory!G:G,SMALL($H$5:$H$304,278))),"")</f>
        <v/>
      </c>
      <c r="H282" s="1" t="str">
        <f aca="false">IF(Inventory!A280="","",IF(ISNUMBER(SEARCH($C$2,Inventory!A280)),ROW(Inventory!A280),""))</f>
        <v/>
      </c>
    </row>
    <row r="283" customFormat="false" ht="15" hidden="false" customHeight="false" outlineLevel="0" collapsed="false">
      <c r="A283" s="13" t="str">
        <f aca="false">IFERROR(IF(INDEX(Inventory!A:A,SMALL($H$5:$H$304,279))="","",INDEX(Inventory!A:A,SMALL($H$5:$H$304,279))),"")</f>
        <v/>
      </c>
      <c r="B283" s="13" t="str">
        <f aca="false">IFERROR(IF(INDEX(Inventory!B:B,SMALL($H$5:$H$304,279))="","",INDEX(Inventory!B:B,SMALL($H$5:$H$304,279))),"")</f>
        <v/>
      </c>
      <c r="C283" s="13" t="str">
        <f aca="false">IFERROR(IF(INDEX(Inventory!C:C,SMALL($H$5:$H$304,279))="","",INDEX(Inventory!C:C,SMALL($H$5:$H$304,279))),"")</f>
        <v/>
      </c>
      <c r="D283" s="13" t="str">
        <f aca="false">IFERROR(IF(INDEX(Inventory!D:D,SMALL($H$5:$H$304,279))="","",INDEX(Inventory!D:D,SMALL($H$5:$H$304,279))),"")</f>
        <v/>
      </c>
      <c r="E283" s="13" t="str">
        <f aca="false">IFERROR(IF(INDEX(Inventory!E:E,SMALL($H$5:$H$304,279))="","",INDEX(Inventory!E:E,SMALL($H$5:$H$304,279))),"")</f>
        <v/>
      </c>
      <c r="F283" s="13" t="str">
        <f aca="false">IFERROR(IF(INDEX(Inventory!F:F,SMALL($H$5:$H$304,279))="","",INDEX(Inventory!F:F,SMALL($H$5:$H$304,279))),"")</f>
        <v/>
      </c>
      <c r="G283" s="13" t="str">
        <f aca="false">IFERROR(IF(INDEX(Inventory!G:G,SMALL($H$5:$H$304,279))="","",INDEX(Inventory!G:G,SMALL($H$5:$H$304,279))),"")</f>
        <v/>
      </c>
      <c r="H283" s="1" t="str">
        <f aca="false">IF(Inventory!A281="","",IF(ISNUMBER(SEARCH($C$2,Inventory!A281)),ROW(Inventory!A281),""))</f>
        <v/>
      </c>
    </row>
    <row r="284" customFormat="false" ht="15" hidden="false" customHeight="false" outlineLevel="0" collapsed="false">
      <c r="A284" s="11" t="str">
        <f aca="false">IFERROR(IF(INDEX(Inventory!A:A,SMALL($H$5:$H$304,280))="","",INDEX(Inventory!A:A,SMALL($H$5:$H$304,280))),"")</f>
        <v/>
      </c>
      <c r="B284" s="11" t="str">
        <f aca="false">IFERROR(IF(INDEX(Inventory!B:B,SMALL($H$5:$H$304,280))="","",INDEX(Inventory!B:B,SMALL($H$5:$H$304,280))),"")</f>
        <v/>
      </c>
      <c r="C284" s="11" t="str">
        <f aca="false">IFERROR(IF(INDEX(Inventory!C:C,SMALL($H$5:$H$304,280))="","",INDEX(Inventory!C:C,SMALL($H$5:$H$304,280))),"")</f>
        <v/>
      </c>
      <c r="D284" s="11" t="str">
        <f aca="false">IFERROR(IF(INDEX(Inventory!D:D,SMALL($H$5:$H$304,280))="","",INDEX(Inventory!D:D,SMALL($H$5:$H$304,280))),"")</f>
        <v/>
      </c>
      <c r="E284" s="11" t="str">
        <f aca="false">IFERROR(IF(INDEX(Inventory!E:E,SMALL($H$5:$H$304,280))="","",INDEX(Inventory!E:E,SMALL($H$5:$H$304,280))),"")</f>
        <v/>
      </c>
      <c r="F284" s="11" t="str">
        <f aca="false">IFERROR(IF(INDEX(Inventory!F:F,SMALL($H$5:$H$304,280))="","",INDEX(Inventory!F:F,SMALL($H$5:$H$304,280))),"")</f>
        <v/>
      </c>
      <c r="G284" s="11" t="str">
        <f aca="false">IFERROR(IF(INDEX(Inventory!G:G,SMALL($H$5:$H$304,280))="","",INDEX(Inventory!G:G,SMALL($H$5:$H$304,280))),"")</f>
        <v/>
      </c>
      <c r="H284" s="1" t="str">
        <f aca="false">IF(Inventory!A282="","",IF(ISNUMBER(SEARCH($C$2,Inventory!A282)),ROW(Inventory!A282),""))</f>
        <v/>
      </c>
    </row>
    <row r="285" customFormat="false" ht="15" hidden="false" customHeight="false" outlineLevel="0" collapsed="false">
      <c r="A285" s="13" t="str">
        <f aca="false">IFERROR(IF(INDEX(Inventory!A:A,SMALL($H$5:$H$304,281))="","",INDEX(Inventory!A:A,SMALL($H$5:$H$304,281))),"")</f>
        <v/>
      </c>
      <c r="B285" s="13" t="str">
        <f aca="false">IFERROR(IF(INDEX(Inventory!B:B,SMALL($H$5:$H$304,281))="","",INDEX(Inventory!B:B,SMALL($H$5:$H$304,281))),"")</f>
        <v/>
      </c>
      <c r="C285" s="13" t="str">
        <f aca="false">IFERROR(IF(INDEX(Inventory!C:C,SMALL($H$5:$H$304,281))="","",INDEX(Inventory!C:C,SMALL($H$5:$H$304,281))),"")</f>
        <v/>
      </c>
      <c r="D285" s="13" t="str">
        <f aca="false">IFERROR(IF(INDEX(Inventory!D:D,SMALL($H$5:$H$304,281))="","",INDEX(Inventory!D:D,SMALL($H$5:$H$304,281))),"")</f>
        <v/>
      </c>
      <c r="E285" s="13" t="str">
        <f aca="false">IFERROR(IF(INDEX(Inventory!E:E,SMALL($H$5:$H$304,281))="","",INDEX(Inventory!E:E,SMALL($H$5:$H$304,281))),"")</f>
        <v/>
      </c>
      <c r="F285" s="13" t="str">
        <f aca="false">IFERROR(IF(INDEX(Inventory!F:F,SMALL($H$5:$H$304,281))="","",INDEX(Inventory!F:F,SMALL($H$5:$H$304,281))),"")</f>
        <v/>
      </c>
      <c r="G285" s="13" t="str">
        <f aca="false">IFERROR(IF(INDEX(Inventory!G:G,SMALL($H$5:$H$304,281))="","",INDEX(Inventory!G:G,SMALL($H$5:$H$304,281))),"")</f>
        <v/>
      </c>
      <c r="H285" s="1" t="str">
        <f aca="false">IF(Inventory!A283="","",IF(ISNUMBER(SEARCH($C$2,Inventory!A283)),ROW(Inventory!A283),""))</f>
        <v/>
      </c>
    </row>
    <row r="286" customFormat="false" ht="15" hidden="false" customHeight="false" outlineLevel="0" collapsed="false">
      <c r="A286" s="11" t="str">
        <f aca="false">IFERROR(IF(INDEX(Inventory!A:A,SMALL($H$5:$H$304,282))="","",INDEX(Inventory!A:A,SMALL($H$5:$H$304,282))),"")</f>
        <v/>
      </c>
      <c r="B286" s="11" t="str">
        <f aca="false">IFERROR(IF(INDEX(Inventory!B:B,SMALL($H$5:$H$304,282))="","",INDEX(Inventory!B:B,SMALL($H$5:$H$304,282))),"")</f>
        <v/>
      </c>
      <c r="C286" s="11" t="str">
        <f aca="false">IFERROR(IF(INDEX(Inventory!C:C,SMALL($H$5:$H$304,282))="","",INDEX(Inventory!C:C,SMALL($H$5:$H$304,282))),"")</f>
        <v/>
      </c>
      <c r="D286" s="11" t="str">
        <f aca="false">IFERROR(IF(INDEX(Inventory!D:D,SMALL($H$5:$H$304,282))="","",INDEX(Inventory!D:D,SMALL($H$5:$H$304,282))),"")</f>
        <v/>
      </c>
      <c r="E286" s="11" t="str">
        <f aca="false">IFERROR(IF(INDEX(Inventory!E:E,SMALL($H$5:$H$304,282))="","",INDEX(Inventory!E:E,SMALL($H$5:$H$304,282))),"")</f>
        <v/>
      </c>
      <c r="F286" s="11" t="str">
        <f aca="false">IFERROR(IF(INDEX(Inventory!F:F,SMALL($H$5:$H$304,282))="","",INDEX(Inventory!F:F,SMALL($H$5:$H$304,282))),"")</f>
        <v/>
      </c>
      <c r="G286" s="11" t="str">
        <f aca="false">IFERROR(IF(INDEX(Inventory!G:G,SMALL($H$5:$H$304,282))="","",INDEX(Inventory!G:G,SMALL($H$5:$H$304,282))),"")</f>
        <v/>
      </c>
      <c r="H286" s="1" t="str">
        <f aca="false">IF(Inventory!A284="","",IF(ISNUMBER(SEARCH($C$2,Inventory!A284)),ROW(Inventory!A284),""))</f>
        <v/>
      </c>
    </row>
    <row r="287" customFormat="false" ht="15" hidden="false" customHeight="false" outlineLevel="0" collapsed="false">
      <c r="A287" s="13" t="str">
        <f aca="false">IFERROR(IF(INDEX(Inventory!A:A,SMALL($H$5:$H$304,283))="","",INDEX(Inventory!A:A,SMALL($H$5:$H$304,283))),"")</f>
        <v/>
      </c>
      <c r="B287" s="13" t="str">
        <f aca="false">IFERROR(IF(INDEX(Inventory!B:B,SMALL($H$5:$H$304,283))="","",INDEX(Inventory!B:B,SMALL($H$5:$H$304,283))),"")</f>
        <v/>
      </c>
      <c r="C287" s="13" t="str">
        <f aca="false">IFERROR(IF(INDEX(Inventory!C:C,SMALL($H$5:$H$304,283))="","",INDEX(Inventory!C:C,SMALL($H$5:$H$304,283))),"")</f>
        <v/>
      </c>
      <c r="D287" s="13" t="str">
        <f aca="false">IFERROR(IF(INDEX(Inventory!D:D,SMALL($H$5:$H$304,283))="","",INDEX(Inventory!D:D,SMALL($H$5:$H$304,283))),"")</f>
        <v/>
      </c>
      <c r="E287" s="13" t="str">
        <f aca="false">IFERROR(IF(INDEX(Inventory!E:E,SMALL($H$5:$H$304,283))="","",INDEX(Inventory!E:E,SMALL($H$5:$H$304,283))),"")</f>
        <v/>
      </c>
      <c r="F287" s="13" t="str">
        <f aca="false">IFERROR(IF(INDEX(Inventory!F:F,SMALL($H$5:$H$304,283))="","",INDEX(Inventory!F:F,SMALL($H$5:$H$304,283))),"")</f>
        <v/>
      </c>
      <c r="G287" s="13" t="str">
        <f aca="false">IFERROR(IF(INDEX(Inventory!G:G,SMALL($H$5:$H$304,283))="","",INDEX(Inventory!G:G,SMALL($H$5:$H$304,283))),"")</f>
        <v/>
      </c>
      <c r="H287" s="1" t="str">
        <f aca="false">IF(Inventory!A285="","",IF(ISNUMBER(SEARCH($C$2,Inventory!A285)),ROW(Inventory!A285),""))</f>
        <v/>
      </c>
    </row>
    <row r="288" customFormat="false" ht="15" hidden="false" customHeight="false" outlineLevel="0" collapsed="false">
      <c r="A288" s="11" t="str">
        <f aca="false">IFERROR(IF(INDEX(Inventory!A:A,SMALL($H$5:$H$304,284))="","",INDEX(Inventory!A:A,SMALL($H$5:$H$304,284))),"")</f>
        <v/>
      </c>
      <c r="B288" s="11" t="str">
        <f aca="false">IFERROR(IF(INDEX(Inventory!B:B,SMALL($H$5:$H$304,284))="","",INDEX(Inventory!B:B,SMALL($H$5:$H$304,284))),"")</f>
        <v/>
      </c>
      <c r="C288" s="11" t="str">
        <f aca="false">IFERROR(IF(INDEX(Inventory!C:C,SMALL($H$5:$H$304,284))="","",INDEX(Inventory!C:C,SMALL($H$5:$H$304,284))),"")</f>
        <v/>
      </c>
      <c r="D288" s="11" t="str">
        <f aca="false">IFERROR(IF(INDEX(Inventory!D:D,SMALL($H$5:$H$304,284))="","",INDEX(Inventory!D:D,SMALL($H$5:$H$304,284))),"")</f>
        <v/>
      </c>
      <c r="E288" s="11" t="str">
        <f aca="false">IFERROR(IF(INDEX(Inventory!E:E,SMALL($H$5:$H$304,284))="","",INDEX(Inventory!E:E,SMALL($H$5:$H$304,284))),"")</f>
        <v/>
      </c>
      <c r="F288" s="11" t="str">
        <f aca="false">IFERROR(IF(INDEX(Inventory!F:F,SMALL($H$5:$H$304,284))="","",INDEX(Inventory!F:F,SMALL($H$5:$H$304,284))),"")</f>
        <v/>
      </c>
      <c r="G288" s="11" t="str">
        <f aca="false">IFERROR(IF(INDEX(Inventory!G:G,SMALL($H$5:$H$304,284))="","",INDEX(Inventory!G:G,SMALL($H$5:$H$304,284))),"")</f>
        <v/>
      </c>
      <c r="H288" s="1" t="str">
        <f aca="false">IF(Inventory!A286="","",IF(ISNUMBER(SEARCH($C$2,Inventory!A286)),ROW(Inventory!A286),""))</f>
        <v/>
      </c>
    </row>
    <row r="289" customFormat="false" ht="15" hidden="false" customHeight="false" outlineLevel="0" collapsed="false">
      <c r="A289" s="13" t="str">
        <f aca="false">IFERROR(IF(INDEX(Inventory!A:A,SMALL($H$5:$H$304,285))="","",INDEX(Inventory!A:A,SMALL($H$5:$H$304,285))),"")</f>
        <v/>
      </c>
      <c r="B289" s="13" t="str">
        <f aca="false">IFERROR(IF(INDEX(Inventory!B:B,SMALL($H$5:$H$304,285))="","",INDEX(Inventory!B:B,SMALL($H$5:$H$304,285))),"")</f>
        <v/>
      </c>
      <c r="C289" s="13" t="str">
        <f aca="false">IFERROR(IF(INDEX(Inventory!C:C,SMALL($H$5:$H$304,285))="","",INDEX(Inventory!C:C,SMALL($H$5:$H$304,285))),"")</f>
        <v/>
      </c>
      <c r="D289" s="13" t="str">
        <f aca="false">IFERROR(IF(INDEX(Inventory!D:D,SMALL($H$5:$H$304,285))="","",INDEX(Inventory!D:D,SMALL($H$5:$H$304,285))),"")</f>
        <v/>
      </c>
      <c r="E289" s="13" t="str">
        <f aca="false">IFERROR(IF(INDEX(Inventory!E:E,SMALL($H$5:$H$304,285))="","",INDEX(Inventory!E:E,SMALL($H$5:$H$304,285))),"")</f>
        <v/>
      </c>
      <c r="F289" s="13" t="str">
        <f aca="false">IFERROR(IF(INDEX(Inventory!F:F,SMALL($H$5:$H$304,285))="","",INDEX(Inventory!F:F,SMALL($H$5:$H$304,285))),"")</f>
        <v/>
      </c>
      <c r="G289" s="13" t="str">
        <f aca="false">IFERROR(IF(INDEX(Inventory!G:G,SMALL($H$5:$H$304,285))="","",INDEX(Inventory!G:G,SMALL($H$5:$H$304,285))),"")</f>
        <v/>
      </c>
      <c r="H289" s="1" t="str">
        <f aca="false">IF(Inventory!A287="","",IF(ISNUMBER(SEARCH($C$2,Inventory!A287)),ROW(Inventory!A287),""))</f>
        <v/>
      </c>
    </row>
    <row r="290" customFormat="false" ht="15" hidden="false" customHeight="false" outlineLevel="0" collapsed="false">
      <c r="A290" s="11" t="str">
        <f aca="false">IFERROR(IF(INDEX(Inventory!A:A,SMALL($H$5:$H$304,286))="","",INDEX(Inventory!A:A,SMALL($H$5:$H$304,286))),"")</f>
        <v/>
      </c>
      <c r="B290" s="11" t="str">
        <f aca="false">IFERROR(IF(INDEX(Inventory!B:B,SMALL($H$5:$H$304,286))="","",INDEX(Inventory!B:B,SMALL($H$5:$H$304,286))),"")</f>
        <v/>
      </c>
      <c r="C290" s="11" t="str">
        <f aca="false">IFERROR(IF(INDEX(Inventory!C:C,SMALL($H$5:$H$304,286))="","",INDEX(Inventory!C:C,SMALL($H$5:$H$304,286))),"")</f>
        <v/>
      </c>
      <c r="D290" s="11" t="str">
        <f aca="false">IFERROR(IF(INDEX(Inventory!D:D,SMALL($H$5:$H$304,286))="","",INDEX(Inventory!D:D,SMALL($H$5:$H$304,286))),"")</f>
        <v/>
      </c>
      <c r="E290" s="11" t="str">
        <f aca="false">IFERROR(IF(INDEX(Inventory!E:E,SMALL($H$5:$H$304,286))="","",INDEX(Inventory!E:E,SMALL($H$5:$H$304,286))),"")</f>
        <v/>
      </c>
      <c r="F290" s="11" t="str">
        <f aca="false">IFERROR(IF(INDEX(Inventory!F:F,SMALL($H$5:$H$304,286))="","",INDEX(Inventory!F:F,SMALL($H$5:$H$304,286))),"")</f>
        <v/>
      </c>
      <c r="G290" s="11" t="str">
        <f aca="false">IFERROR(IF(INDEX(Inventory!G:G,SMALL($H$5:$H$304,286))="","",INDEX(Inventory!G:G,SMALL($H$5:$H$304,286))),"")</f>
        <v/>
      </c>
      <c r="H290" s="1" t="str">
        <f aca="false">IF(Inventory!A288="","",IF(ISNUMBER(SEARCH($C$2,Inventory!A288)),ROW(Inventory!A288),""))</f>
        <v/>
      </c>
    </row>
    <row r="291" customFormat="false" ht="15" hidden="false" customHeight="false" outlineLevel="0" collapsed="false">
      <c r="A291" s="13" t="str">
        <f aca="false">IFERROR(IF(INDEX(Inventory!A:A,SMALL($H$5:$H$304,287))="","",INDEX(Inventory!A:A,SMALL($H$5:$H$304,287))),"")</f>
        <v/>
      </c>
      <c r="B291" s="13" t="str">
        <f aca="false">IFERROR(IF(INDEX(Inventory!B:B,SMALL($H$5:$H$304,287))="","",INDEX(Inventory!B:B,SMALL($H$5:$H$304,287))),"")</f>
        <v/>
      </c>
      <c r="C291" s="13" t="str">
        <f aca="false">IFERROR(IF(INDEX(Inventory!C:C,SMALL($H$5:$H$304,287))="","",INDEX(Inventory!C:C,SMALL($H$5:$H$304,287))),"")</f>
        <v/>
      </c>
      <c r="D291" s="13" t="str">
        <f aca="false">IFERROR(IF(INDEX(Inventory!D:D,SMALL($H$5:$H$304,287))="","",INDEX(Inventory!D:D,SMALL($H$5:$H$304,287))),"")</f>
        <v/>
      </c>
      <c r="E291" s="13" t="str">
        <f aca="false">IFERROR(IF(INDEX(Inventory!E:E,SMALL($H$5:$H$304,287))="","",INDEX(Inventory!E:E,SMALL($H$5:$H$304,287))),"")</f>
        <v/>
      </c>
      <c r="F291" s="13" t="str">
        <f aca="false">IFERROR(IF(INDEX(Inventory!F:F,SMALL($H$5:$H$304,287))="","",INDEX(Inventory!F:F,SMALL($H$5:$H$304,287))),"")</f>
        <v/>
      </c>
      <c r="G291" s="13" t="str">
        <f aca="false">IFERROR(IF(INDEX(Inventory!G:G,SMALL($H$5:$H$304,287))="","",INDEX(Inventory!G:G,SMALL($H$5:$H$304,287))),"")</f>
        <v/>
      </c>
      <c r="H291" s="1" t="str">
        <f aca="false">IF(Inventory!A289="","",IF(ISNUMBER(SEARCH($C$2,Inventory!A289)),ROW(Inventory!A289),""))</f>
        <v/>
      </c>
    </row>
    <row r="292" customFormat="false" ht="15" hidden="false" customHeight="false" outlineLevel="0" collapsed="false">
      <c r="A292" s="11" t="str">
        <f aca="false">IFERROR(IF(INDEX(Inventory!A:A,SMALL($H$5:$H$304,288))="","",INDEX(Inventory!A:A,SMALL($H$5:$H$304,288))),"")</f>
        <v/>
      </c>
      <c r="B292" s="11" t="str">
        <f aca="false">IFERROR(IF(INDEX(Inventory!B:B,SMALL($H$5:$H$304,288))="","",INDEX(Inventory!B:B,SMALL($H$5:$H$304,288))),"")</f>
        <v/>
      </c>
      <c r="C292" s="11" t="str">
        <f aca="false">IFERROR(IF(INDEX(Inventory!C:C,SMALL($H$5:$H$304,288))="","",INDEX(Inventory!C:C,SMALL($H$5:$H$304,288))),"")</f>
        <v/>
      </c>
      <c r="D292" s="11" t="str">
        <f aca="false">IFERROR(IF(INDEX(Inventory!D:D,SMALL($H$5:$H$304,288))="","",INDEX(Inventory!D:D,SMALL($H$5:$H$304,288))),"")</f>
        <v/>
      </c>
      <c r="E292" s="11" t="str">
        <f aca="false">IFERROR(IF(INDEX(Inventory!E:E,SMALL($H$5:$H$304,288))="","",INDEX(Inventory!E:E,SMALL($H$5:$H$304,288))),"")</f>
        <v/>
      </c>
      <c r="F292" s="11" t="str">
        <f aca="false">IFERROR(IF(INDEX(Inventory!F:F,SMALL($H$5:$H$304,288))="","",INDEX(Inventory!F:F,SMALL($H$5:$H$304,288))),"")</f>
        <v/>
      </c>
      <c r="G292" s="11" t="str">
        <f aca="false">IFERROR(IF(INDEX(Inventory!G:G,SMALL($H$5:$H$304,288))="","",INDEX(Inventory!G:G,SMALL($H$5:$H$304,288))),"")</f>
        <v/>
      </c>
      <c r="H292" s="1" t="str">
        <f aca="false">IF(Inventory!A290="","",IF(ISNUMBER(SEARCH($C$2,Inventory!A290)),ROW(Inventory!A290),""))</f>
        <v/>
      </c>
    </row>
    <row r="293" customFormat="false" ht="15" hidden="false" customHeight="false" outlineLevel="0" collapsed="false">
      <c r="A293" s="13" t="str">
        <f aca="false">IFERROR(IF(INDEX(Inventory!A:A,SMALL($H$5:$H$304,289))="","",INDEX(Inventory!A:A,SMALL($H$5:$H$304,289))),"")</f>
        <v/>
      </c>
      <c r="B293" s="13" t="str">
        <f aca="false">IFERROR(IF(INDEX(Inventory!B:B,SMALL($H$5:$H$304,289))="","",INDEX(Inventory!B:B,SMALL($H$5:$H$304,289))),"")</f>
        <v/>
      </c>
      <c r="C293" s="13" t="str">
        <f aca="false">IFERROR(IF(INDEX(Inventory!C:C,SMALL($H$5:$H$304,289))="","",INDEX(Inventory!C:C,SMALL($H$5:$H$304,289))),"")</f>
        <v/>
      </c>
      <c r="D293" s="13" t="str">
        <f aca="false">IFERROR(IF(INDEX(Inventory!D:D,SMALL($H$5:$H$304,289))="","",INDEX(Inventory!D:D,SMALL($H$5:$H$304,289))),"")</f>
        <v/>
      </c>
      <c r="E293" s="13" t="str">
        <f aca="false">IFERROR(IF(INDEX(Inventory!E:E,SMALL($H$5:$H$304,289))="","",INDEX(Inventory!E:E,SMALL($H$5:$H$304,289))),"")</f>
        <v/>
      </c>
      <c r="F293" s="13" t="str">
        <f aca="false">IFERROR(IF(INDEX(Inventory!F:F,SMALL($H$5:$H$304,289))="","",INDEX(Inventory!F:F,SMALL($H$5:$H$304,289))),"")</f>
        <v/>
      </c>
      <c r="G293" s="13" t="str">
        <f aca="false">IFERROR(IF(INDEX(Inventory!G:G,SMALL($H$5:$H$304,289))="","",INDEX(Inventory!G:G,SMALL($H$5:$H$304,289))),"")</f>
        <v/>
      </c>
      <c r="H293" s="1" t="str">
        <f aca="false">IF(Inventory!A291="","",IF(ISNUMBER(SEARCH($C$2,Inventory!A291)),ROW(Inventory!A291),""))</f>
        <v/>
      </c>
    </row>
    <row r="294" customFormat="false" ht="15" hidden="false" customHeight="false" outlineLevel="0" collapsed="false">
      <c r="A294" s="11" t="str">
        <f aca="false">IFERROR(IF(INDEX(Inventory!A:A,SMALL($H$5:$H$304,290))="","",INDEX(Inventory!A:A,SMALL($H$5:$H$304,290))),"")</f>
        <v/>
      </c>
      <c r="B294" s="11" t="str">
        <f aca="false">IFERROR(IF(INDEX(Inventory!B:B,SMALL($H$5:$H$304,290))="","",INDEX(Inventory!B:B,SMALL($H$5:$H$304,290))),"")</f>
        <v/>
      </c>
      <c r="C294" s="11" t="str">
        <f aca="false">IFERROR(IF(INDEX(Inventory!C:C,SMALL($H$5:$H$304,290))="","",INDEX(Inventory!C:C,SMALL($H$5:$H$304,290))),"")</f>
        <v/>
      </c>
      <c r="D294" s="11" t="str">
        <f aca="false">IFERROR(IF(INDEX(Inventory!D:D,SMALL($H$5:$H$304,290))="","",INDEX(Inventory!D:D,SMALL($H$5:$H$304,290))),"")</f>
        <v/>
      </c>
      <c r="E294" s="11" t="str">
        <f aca="false">IFERROR(IF(INDEX(Inventory!E:E,SMALL($H$5:$H$304,290))="","",INDEX(Inventory!E:E,SMALL($H$5:$H$304,290))),"")</f>
        <v/>
      </c>
      <c r="F294" s="11" t="str">
        <f aca="false">IFERROR(IF(INDEX(Inventory!F:F,SMALL($H$5:$H$304,290))="","",INDEX(Inventory!F:F,SMALL($H$5:$H$304,290))),"")</f>
        <v/>
      </c>
      <c r="G294" s="11" t="str">
        <f aca="false">IFERROR(IF(INDEX(Inventory!G:G,SMALL($H$5:$H$304,290))="","",INDEX(Inventory!G:G,SMALL($H$5:$H$304,290))),"")</f>
        <v/>
      </c>
      <c r="H294" s="1" t="str">
        <f aca="false">IF(Inventory!A292="","",IF(ISNUMBER(SEARCH($C$2,Inventory!A292)),ROW(Inventory!A292),""))</f>
        <v/>
      </c>
    </row>
    <row r="295" customFormat="false" ht="15" hidden="false" customHeight="false" outlineLevel="0" collapsed="false">
      <c r="A295" s="13" t="str">
        <f aca="false">IFERROR(IF(INDEX(Inventory!A:A,SMALL($H$5:$H$304,291))="","",INDEX(Inventory!A:A,SMALL($H$5:$H$304,291))),"")</f>
        <v/>
      </c>
      <c r="B295" s="13" t="str">
        <f aca="false">IFERROR(IF(INDEX(Inventory!B:B,SMALL($H$5:$H$304,291))="","",INDEX(Inventory!B:B,SMALL($H$5:$H$304,291))),"")</f>
        <v/>
      </c>
      <c r="C295" s="13" t="str">
        <f aca="false">IFERROR(IF(INDEX(Inventory!C:C,SMALL($H$5:$H$304,291))="","",INDEX(Inventory!C:C,SMALL($H$5:$H$304,291))),"")</f>
        <v/>
      </c>
      <c r="D295" s="13" t="str">
        <f aca="false">IFERROR(IF(INDEX(Inventory!D:D,SMALL($H$5:$H$304,291))="","",INDEX(Inventory!D:D,SMALL($H$5:$H$304,291))),"")</f>
        <v/>
      </c>
      <c r="E295" s="13" t="str">
        <f aca="false">IFERROR(IF(INDEX(Inventory!E:E,SMALL($H$5:$H$304,291))="","",INDEX(Inventory!E:E,SMALL($H$5:$H$304,291))),"")</f>
        <v/>
      </c>
      <c r="F295" s="13" t="str">
        <f aca="false">IFERROR(IF(INDEX(Inventory!F:F,SMALL($H$5:$H$304,291))="","",INDEX(Inventory!F:F,SMALL($H$5:$H$304,291))),"")</f>
        <v/>
      </c>
      <c r="G295" s="13" t="str">
        <f aca="false">IFERROR(IF(INDEX(Inventory!G:G,SMALL($H$5:$H$304,291))="","",INDEX(Inventory!G:G,SMALL($H$5:$H$304,291))),"")</f>
        <v/>
      </c>
      <c r="H295" s="1" t="str">
        <f aca="false">IF(Inventory!A293="","",IF(ISNUMBER(SEARCH($C$2,Inventory!A293)),ROW(Inventory!A293),""))</f>
        <v/>
      </c>
    </row>
    <row r="296" customFormat="false" ht="15" hidden="false" customHeight="false" outlineLevel="0" collapsed="false">
      <c r="A296" s="11" t="str">
        <f aca="false">IFERROR(IF(INDEX(Inventory!A:A,SMALL($H$5:$H$304,292))="","",INDEX(Inventory!A:A,SMALL($H$5:$H$304,292))),"")</f>
        <v/>
      </c>
      <c r="B296" s="11" t="str">
        <f aca="false">IFERROR(IF(INDEX(Inventory!B:B,SMALL($H$5:$H$304,292))="","",INDEX(Inventory!B:B,SMALL($H$5:$H$304,292))),"")</f>
        <v/>
      </c>
      <c r="C296" s="11" t="str">
        <f aca="false">IFERROR(IF(INDEX(Inventory!C:C,SMALL($H$5:$H$304,292))="","",INDEX(Inventory!C:C,SMALL($H$5:$H$304,292))),"")</f>
        <v/>
      </c>
      <c r="D296" s="11" t="str">
        <f aca="false">IFERROR(IF(INDEX(Inventory!D:D,SMALL($H$5:$H$304,292))="","",INDEX(Inventory!D:D,SMALL($H$5:$H$304,292))),"")</f>
        <v/>
      </c>
      <c r="E296" s="11" t="str">
        <f aca="false">IFERROR(IF(INDEX(Inventory!E:E,SMALL($H$5:$H$304,292))="","",INDEX(Inventory!E:E,SMALL($H$5:$H$304,292))),"")</f>
        <v/>
      </c>
      <c r="F296" s="11" t="str">
        <f aca="false">IFERROR(IF(INDEX(Inventory!F:F,SMALL($H$5:$H$304,292))="","",INDEX(Inventory!F:F,SMALL($H$5:$H$304,292))),"")</f>
        <v/>
      </c>
      <c r="G296" s="11" t="str">
        <f aca="false">IFERROR(IF(INDEX(Inventory!G:G,SMALL($H$5:$H$304,292))="","",INDEX(Inventory!G:G,SMALL($H$5:$H$304,292))),"")</f>
        <v/>
      </c>
      <c r="H296" s="1" t="str">
        <f aca="false">IF(Inventory!A294="","",IF(ISNUMBER(SEARCH($C$2,Inventory!A294)),ROW(Inventory!A294),""))</f>
        <v/>
      </c>
    </row>
    <row r="297" customFormat="false" ht="15" hidden="false" customHeight="false" outlineLevel="0" collapsed="false">
      <c r="A297" s="13" t="str">
        <f aca="false">IFERROR(IF(INDEX(Inventory!A:A,SMALL($H$5:$H$304,293))="","",INDEX(Inventory!A:A,SMALL($H$5:$H$304,293))),"")</f>
        <v/>
      </c>
      <c r="B297" s="13" t="str">
        <f aca="false">IFERROR(IF(INDEX(Inventory!B:B,SMALL($H$5:$H$304,293))="","",INDEX(Inventory!B:B,SMALL($H$5:$H$304,293))),"")</f>
        <v/>
      </c>
      <c r="C297" s="13" t="str">
        <f aca="false">IFERROR(IF(INDEX(Inventory!C:C,SMALL($H$5:$H$304,293))="","",INDEX(Inventory!C:C,SMALL($H$5:$H$304,293))),"")</f>
        <v/>
      </c>
      <c r="D297" s="13" t="str">
        <f aca="false">IFERROR(IF(INDEX(Inventory!D:D,SMALL($H$5:$H$304,293))="","",INDEX(Inventory!D:D,SMALL($H$5:$H$304,293))),"")</f>
        <v/>
      </c>
      <c r="E297" s="13" t="str">
        <f aca="false">IFERROR(IF(INDEX(Inventory!E:E,SMALL($H$5:$H$304,293))="","",INDEX(Inventory!E:E,SMALL($H$5:$H$304,293))),"")</f>
        <v/>
      </c>
      <c r="F297" s="13" t="str">
        <f aca="false">IFERROR(IF(INDEX(Inventory!F:F,SMALL($H$5:$H$304,293))="","",INDEX(Inventory!F:F,SMALL($H$5:$H$304,293))),"")</f>
        <v/>
      </c>
      <c r="G297" s="13" t="str">
        <f aca="false">IFERROR(IF(INDEX(Inventory!G:G,SMALL($H$5:$H$304,293))="","",INDEX(Inventory!G:G,SMALL($H$5:$H$304,293))),"")</f>
        <v/>
      </c>
      <c r="H297" s="1" t="str">
        <f aca="false">IF(Inventory!A295="","",IF(ISNUMBER(SEARCH($C$2,Inventory!A295)),ROW(Inventory!A295),""))</f>
        <v/>
      </c>
    </row>
    <row r="298" customFormat="false" ht="15" hidden="false" customHeight="false" outlineLevel="0" collapsed="false">
      <c r="A298" s="11" t="str">
        <f aca="false">IFERROR(IF(INDEX(Inventory!A:A,SMALL($H$5:$H$304,294))="","",INDEX(Inventory!A:A,SMALL($H$5:$H$304,294))),"")</f>
        <v/>
      </c>
      <c r="B298" s="11" t="str">
        <f aca="false">IFERROR(IF(INDEX(Inventory!B:B,SMALL($H$5:$H$304,294))="","",INDEX(Inventory!B:B,SMALL($H$5:$H$304,294))),"")</f>
        <v/>
      </c>
      <c r="C298" s="11" t="str">
        <f aca="false">IFERROR(IF(INDEX(Inventory!C:C,SMALL($H$5:$H$304,294))="","",INDEX(Inventory!C:C,SMALL($H$5:$H$304,294))),"")</f>
        <v/>
      </c>
      <c r="D298" s="11" t="str">
        <f aca="false">IFERROR(IF(INDEX(Inventory!D:D,SMALL($H$5:$H$304,294))="","",INDEX(Inventory!D:D,SMALL($H$5:$H$304,294))),"")</f>
        <v/>
      </c>
      <c r="E298" s="11" t="str">
        <f aca="false">IFERROR(IF(INDEX(Inventory!E:E,SMALL($H$5:$H$304,294))="","",INDEX(Inventory!E:E,SMALL($H$5:$H$304,294))),"")</f>
        <v/>
      </c>
      <c r="F298" s="11" t="str">
        <f aca="false">IFERROR(IF(INDEX(Inventory!F:F,SMALL($H$5:$H$304,294))="","",INDEX(Inventory!F:F,SMALL($H$5:$H$304,294))),"")</f>
        <v/>
      </c>
      <c r="G298" s="11" t="str">
        <f aca="false">IFERROR(IF(INDEX(Inventory!G:G,SMALL($H$5:$H$304,294))="","",INDEX(Inventory!G:G,SMALL($H$5:$H$304,294))),"")</f>
        <v/>
      </c>
      <c r="H298" s="1" t="str">
        <f aca="false">IF(Inventory!A296="","",IF(ISNUMBER(SEARCH($C$2,Inventory!A296)),ROW(Inventory!A296),""))</f>
        <v/>
      </c>
    </row>
    <row r="299" customFormat="false" ht="15" hidden="false" customHeight="false" outlineLevel="0" collapsed="false">
      <c r="A299" s="13" t="str">
        <f aca="false">IFERROR(IF(INDEX(Inventory!A:A,SMALL($H$5:$H$304,295))="","",INDEX(Inventory!A:A,SMALL($H$5:$H$304,295))),"")</f>
        <v/>
      </c>
      <c r="B299" s="13" t="str">
        <f aca="false">IFERROR(IF(INDEX(Inventory!B:B,SMALL($H$5:$H$304,295))="","",INDEX(Inventory!B:B,SMALL($H$5:$H$304,295))),"")</f>
        <v/>
      </c>
      <c r="C299" s="13" t="str">
        <f aca="false">IFERROR(IF(INDEX(Inventory!C:C,SMALL($H$5:$H$304,295))="","",INDEX(Inventory!C:C,SMALL($H$5:$H$304,295))),"")</f>
        <v/>
      </c>
      <c r="D299" s="13" t="str">
        <f aca="false">IFERROR(IF(INDEX(Inventory!D:D,SMALL($H$5:$H$304,295))="","",INDEX(Inventory!D:D,SMALL($H$5:$H$304,295))),"")</f>
        <v/>
      </c>
      <c r="E299" s="13" t="str">
        <f aca="false">IFERROR(IF(INDEX(Inventory!E:E,SMALL($H$5:$H$304,295))="","",INDEX(Inventory!E:E,SMALL($H$5:$H$304,295))),"")</f>
        <v/>
      </c>
      <c r="F299" s="13" t="str">
        <f aca="false">IFERROR(IF(INDEX(Inventory!F:F,SMALL($H$5:$H$304,295))="","",INDEX(Inventory!F:F,SMALL($H$5:$H$304,295))),"")</f>
        <v/>
      </c>
      <c r="G299" s="13" t="str">
        <f aca="false">IFERROR(IF(INDEX(Inventory!G:G,SMALL($H$5:$H$304,295))="","",INDEX(Inventory!G:G,SMALL($H$5:$H$304,295))),"")</f>
        <v/>
      </c>
      <c r="H299" s="1" t="str">
        <f aca="false">IF(Inventory!A297="","",IF(ISNUMBER(SEARCH($C$2,Inventory!A297)),ROW(Inventory!A297),""))</f>
        <v/>
      </c>
    </row>
    <row r="300" customFormat="false" ht="15" hidden="false" customHeight="false" outlineLevel="0" collapsed="false">
      <c r="A300" s="11" t="str">
        <f aca="false">IFERROR(IF(INDEX(Inventory!A:A,SMALL($H$5:$H$304,296))="","",INDEX(Inventory!A:A,SMALL($H$5:$H$304,296))),"")</f>
        <v/>
      </c>
      <c r="B300" s="11" t="str">
        <f aca="false">IFERROR(IF(INDEX(Inventory!B:B,SMALL($H$5:$H$304,296))="","",INDEX(Inventory!B:B,SMALL($H$5:$H$304,296))),"")</f>
        <v/>
      </c>
      <c r="C300" s="11" t="str">
        <f aca="false">IFERROR(IF(INDEX(Inventory!C:C,SMALL($H$5:$H$304,296))="","",INDEX(Inventory!C:C,SMALL($H$5:$H$304,296))),"")</f>
        <v/>
      </c>
      <c r="D300" s="11" t="str">
        <f aca="false">IFERROR(IF(INDEX(Inventory!D:D,SMALL($H$5:$H$304,296))="","",INDEX(Inventory!D:D,SMALL($H$5:$H$304,296))),"")</f>
        <v/>
      </c>
      <c r="E300" s="11" t="str">
        <f aca="false">IFERROR(IF(INDEX(Inventory!E:E,SMALL($H$5:$H$304,296))="","",INDEX(Inventory!E:E,SMALL($H$5:$H$304,296))),"")</f>
        <v/>
      </c>
      <c r="F300" s="11" t="str">
        <f aca="false">IFERROR(IF(INDEX(Inventory!F:F,SMALL($H$5:$H$304,296))="","",INDEX(Inventory!F:F,SMALL($H$5:$H$304,296))),"")</f>
        <v/>
      </c>
      <c r="G300" s="11" t="str">
        <f aca="false">IFERROR(IF(INDEX(Inventory!G:G,SMALL($H$5:$H$304,296))="","",INDEX(Inventory!G:G,SMALL($H$5:$H$304,296))),"")</f>
        <v/>
      </c>
      <c r="H300" s="1" t="str">
        <f aca="false">IF(Inventory!A298="","",IF(ISNUMBER(SEARCH($C$2,Inventory!A298)),ROW(Inventory!A298),""))</f>
        <v/>
      </c>
    </row>
    <row r="301" customFormat="false" ht="15" hidden="false" customHeight="false" outlineLevel="0" collapsed="false">
      <c r="A301" s="13" t="str">
        <f aca="false">IFERROR(IF(INDEX(Inventory!A:A,SMALL($H$5:$H$304,297))="","",INDEX(Inventory!A:A,SMALL($H$5:$H$304,297))),"")</f>
        <v/>
      </c>
      <c r="B301" s="13" t="str">
        <f aca="false">IFERROR(IF(INDEX(Inventory!B:B,SMALL($H$5:$H$304,297))="","",INDEX(Inventory!B:B,SMALL($H$5:$H$304,297))),"")</f>
        <v/>
      </c>
      <c r="C301" s="13" t="str">
        <f aca="false">IFERROR(IF(INDEX(Inventory!C:C,SMALL($H$5:$H$304,297))="","",INDEX(Inventory!C:C,SMALL($H$5:$H$304,297))),"")</f>
        <v/>
      </c>
      <c r="D301" s="13" t="str">
        <f aca="false">IFERROR(IF(INDEX(Inventory!D:D,SMALL($H$5:$H$304,297))="","",INDEX(Inventory!D:D,SMALL($H$5:$H$304,297))),"")</f>
        <v/>
      </c>
      <c r="E301" s="13" t="str">
        <f aca="false">IFERROR(IF(INDEX(Inventory!E:E,SMALL($H$5:$H$304,297))="","",INDEX(Inventory!E:E,SMALL($H$5:$H$304,297))),"")</f>
        <v/>
      </c>
      <c r="F301" s="13" t="str">
        <f aca="false">IFERROR(IF(INDEX(Inventory!F:F,SMALL($H$5:$H$304,297))="","",INDEX(Inventory!F:F,SMALL($H$5:$H$304,297))),"")</f>
        <v/>
      </c>
      <c r="G301" s="13" t="str">
        <f aca="false">IFERROR(IF(INDEX(Inventory!G:G,SMALL($H$5:$H$304,297))="","",INDEX(Inventory!G:G,SMALL($H$5:$H$304,297))),"")</f>
        <v/>
      </c>
      <c r="H301" s="1" t="str">
        <f aca="false">IF(Inventory!A299="","",IF(ISNUMBER(SEARCH($C$2,Inventory!A299)),ROW(Inventory!A299),""))</f>
        <v/>
      </c>
    </row>
    <row r="302" customFormat="false" ht="15" hidden="false" customHeight="false" outlineLevel="0" collapsed="false">
      <c r="A302" s="11" t="str">
        <f aca="false">IFERROR(IF(INDEX(Inventory!A:A,SMALL($H$5:$H$304,298))="","",INDEX(Inventory!A:A,SMALL($H$5:$H$304,298))),"")</f>
        <v/>
      </c>
      <c r="B302" s="11" t="str">
        <f aca="false">IFERROR(IF(INDEX(Inventory!B:B,SMALL($H$5:$H$304,298))="","",INDEX(Inventory!B:B,SMALL($H$5:$H$304,298))),"")</f>
        <v/>
      </c>
      <c r="C302" s="11" t="str">
        <f aca="false">IFERROR(IF(INDEX(Inventory!C:C,SMALL($H$5:$H$304,298))="","",INDEX(Inventory!C:C,SMALL($H$5:$H$304,298))),"")</f>
        <v/>
      </c>
      <c r="D302" s="11" t="str">
        <f aca="false">IFERROR(IF(INDEX(Inventory!D:D,SMALL($H$5:$H$304,298))="","",INDEX(Inventory!D:D,SMALL($H$5:$H$304,298))),"")</f>
        <v/>
      </c>
      <c r="E302" s="11" t="str">
        <f aca="false">IFERROR(IF(INDEX(Inventory!E:E,SMALL($H$5:$H$304,298))="","",INDEX(Inventory!E:E,SMALL($H$5:$H$304,298))),"")</f>
        <v/>
      </c>
      <c r="F302" s="11" t="str">
        <f aca="false">IFERROR(IF(INDEX(Inventory!F:F,SMALL($H$5:$H$304,298))="","",INDEX(Inventory!F:F,SMALL($H$5:$H$304,298))),"")</f>
        <v/>
      </c>
      <c r="G302" s="11" t="str">
        <f aca="false">IFERROR(IF(INDEX(Inventory!G:G,SMALL($H$5:$H$304,298))="","",INDEX(Inventory!G:G,SMALL($H$5:$H$304,298))),"")</f>
        <v/>
      </c>
      <c r="H302" s="1" t="str">
        <f aca="false">IF(Inventory!A300="","",IF(ISNUMBER(SEARCH($C$2,Inventory!A300)),ROW(Inventory!A300),""))</f>
        <v/>
      </c>
    </row>
    <row r="303" customFormat="false" ht="15" hidden="false" customHeight="false" outlineLevel="0" collapsed="false">
      <c r="A303" s="13" t="str">
        <f aca="false">IFERROR(IF(INDEX(Inventory!A:A,SMALL($H$5:$H$304,299))="","",INDEX(Inventory!A:A,SMALL($H$5:$H$304,299))),"")</f>
        <v/>
      </c>
      <c r="B303" s="13" t="str">
        <f aca="false">IFERROR(IF(INDEX(Inventory!B:B,SMALL($H$5:$H$304,299))="","",INDEX(Inventory!B:B,SMALL($H$5:$H$304,299))),"")</f>
        <v/>
      </c>
      <c r="C303" s="13" t="str">
        <f aca="false">IFERROR(IF(INDEX(Inventory!C:C,SMALL($H$5:$H$304,299))="","",INDEX(Inventory!C:C,SMALL($H$5:$H$304,299))),"")</f>
        <v/>
      </c>
      <c r="D303" s="13" t="str">
        <f aca="false">IFERROR(IF(INDEX(Inventory!D:D,SMALL($H$5:$H$304,299))="","",INDEX(Inventory!D:D,SMALL($H$5:$H$304,299))),"")</f>
        <v/>
      </c>
      <c r="E303" s="13" t="str">
        <f aca="false">IFERROR(IF(INDEX(Inventory!E:E,SMALL($H$5:$H$304,299))="","",INDEX(Inventory!E:E,SMALL($H$5:$H$304,299))),"")</f>
        <v/>
      </c>
      <c r="F303" s="13" t="str">
        <f aca="false">IFERROR(IF(INDEX(Inventory!F:F,SMALL($H$5:$H$304,299))="","",INDEX(Inventory!F:F,SMALL($H$5:$H$304,299))),"")</f>
        <v/>
      </c>
      <c r="G303" s="13" t="str">
        <f aca="false">IFERROR(IF(INDEX(Inventory!G:G,SMALL($H$5:$H$304,299))="","",INDEX(Inventory!G:G,SMALL($H$5:$H$304,299))),"")</f>
        <v/>
      </c>
      <c r="H303" s="1" t="str">
        <f aca="false">IF(Inventory!A301="","",IF(ISNUMBER(SEARCH($C$2,Inventory!A301)),ROW(Inventory!A301),""))</f>
        <v/>
      </c>
    </row>
    <row r="304" customFormat="false" ht="15" hidden="false" customHeight="false" outlineLevel="0" collapsed="false">
      <c r="A304" s="11" t="str">
        <f aca="false">IFERROR(IF(INDEX(Inventory!A:A,SMALL($H$5:$H$304,300))="","",INDEX(Inventory!A:A,SMALL($H$5:$H$304,300))),"")</f>
        <v/>
      </c>
      <c r="B304" s="11" t="str">
        <f aca="false">IFERROR(IF(INDEX(Inventory!B:B,SMALL($H$5:$H$304,300))="","",INDEX(Inventory!B:B,SMALL($H$5:$H$304,300))),"")</f>
        <v/>
      </c>
      <c r="C304" s="11" t="str">
        <f aca="false">IFERROR(IF(INDEX(Inventory!C:C,SMALL($H$5:$H$304,300))="","",INDEX(Inventory!C:C,SMALL($H$5:$H$304,300))),"")</f>
        <v/>
      </c>
      <c r="D304" s="11" t="str">
        <f aca="false">IFERROR(IF(INDEX(Inventory!D:D,SMALL($H$5:$H$304,300))="","",INDEX(Inventory!D:D,SMALL($H$5:$H$304,300))),"")</f>
        <v/>
      </c>
      <c r="E304" s="11" t="str">
        <f aca="false">IFERROR(IF(INDEX(Inventory!E:E,SMALL($H$5:$H$304,300))="","",INDEX(Inventory!E:E,SMALL($H$5:$H$304,300))),"")</f>
        <v/>
      </c>
      <c r="F304" s="11" t="str">
        <f aca="false">IFERROR(IF(INDEX(Inventory!F:F,SMALL($H$5:$H$304,300))="","",INDEX(Inventory!F:F,SMALL($H$5:$H$304,300))),"")</f>
        <v/>
      </c>
      <c r="G304" s="11" t="str">
        <f aca="false">IFERROR(IF(INDEX(Inventory!G:G,SMALL($H$5:$H$304,300))="","",INDEX(Inventory!G:G,SMALL($H$5:$H$304,300))),"")</f>
        <v/>
      </c>
      <c r="H304" s="1" t="str">
        <f aca="false">IF(Inventory!A302="","",IF(ISNUMBER(SEARCH($C$2,Inventory!A302)),ROW(Inventory!A302),""))</f>
        <v/>
      </c>
    </row>
  </sheetData>
  <mergeCells count="3">
    <mergeCell ref="A1:G1"/>
    <mergeCell ref="A2:B2"/>
    <mergeCell ref="D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1" width="30.27"/>
    <col collapsed="false" customWidth="true" hidden="false" outlineLevel="0" max="2" min="2" style="1" width="22.2"/>
    <col collapsed="false" customWidth="true" hidden="false" outlineLevel="0" max="3" min="3" style="1" width="34.31"/>
    <col collapsed="false" customWidth="true" hidden="false" outlineLevel="0" max="4" min="4" style="1" width="24.21"/>
    <col collapsed="false" customWidth="true" hidden="false" outlineLevel="0" max="5" min="5" style="1" width="18.16"/>
    <col collapsed="false" customWidth="true" hidden="false" outlineLevel="0" max="6" min="6" style="1" width="20.18"/>
  </cols>
  <sheetData>
    <row r="1" customFormat="false" ht="30" hidden="false" customHeight="true" outlineLevel="0" collapsed="false">
      <c r="A1" s="15" t="s">
        <v>512</v>
      </c>
      <c r="B1" s="15"/>
      <c r="C1" s="15"/>
      <c r="D1" s="15"/>
      <c r="E1" s="15"/>
      <c r="F1" s="15"/>
    </row>
    <row r="2" customFormat="false" ht="18" hidden="false" customHeight="true" outlineLevel="0" collapsed="false">
      <c r="A2" s="23" t="s">
        <v>513</v>
      </c>
      <c r="B2" s="23"/>
      <c r="C2" s="23"/>
      <c r="D2" s="23"/>
      <c r="E2" s="23"/>
      <c r="F2" s="23"/>
    </row>
    <row r="3" customFormat="false" ht="15" hidden="false" customHeight="false" outlineLevel="0" collapsed="false">
      <c r="A3" s="7" t="s">
        <v>514</v>
      </c>
      <c r="B3" s="7" t="s">
        <v>515</v>
      </c>
      <c r="C3" s="7" t="s">
        <v>516</v>
      </c>
      <c r="D3" s="7" t="s">
        <v>517</v>
      </c>
      <c r="E3" s="7" t="s">
        <v>504</v>
      </c>
      <c r="F3" s="7" t="s">
        <v>518</v>
      </c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E4:E53" type="list">
      <formula1>"Unidentified,Identified,Moved to Inventory,Disposed"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Collabora_Office/26.04.2.1$Linux_X86_64 LibreOffice_project/de013a57f9dd43658ce09b01cc34cbfa82f81afd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2026-06-16T15:04:27Z</dcterms:created>
  <dc:creator>openpyxl</dc:creator>
  <dc:description/>
  <dc:language>en-US</dc:language>
  <cp:lastModifiedBy/>
  <dcterms:modified xsi:type="dcterms:W3CDTF">2026-09-19T10:21:05Z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